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14.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17" codeName="{00000000-0000-0000-0000-000000000000}"/>
  <fileSharing readOnlyRecommended="1"/>
  <workbookPr updateLinks="always" codeName="ThisWorkbook"/>
  <mc:AlternateContent xmlns:mc="http://schemas.openxmlformats.org/markup-compatibility/2006">
    <mc:Choice Requires="x15">
      <x15ac:absPath xmlns:x15ac="http://schemas.microsoft.com/office/spreadsheetml/2010/11/ac" url="https://indall.sharepoint.com/teams/ServicesConseilSI-ISConsultingServices/Documents partages/Infrastructure and Cloud Computing Technologies/Cloud/GCP - AX360/"/>
    </mc:Choice>
  </mc:AlternateContent>
  <xr:revisionPtr revIDLastSave="500" documentId="13_ncr:1_{4DDDE58C-E1CF-4FC1-B07C-40977EE66F48}" xr6:coauthVersionLast="47" xr6:coauthVersionMax="47" xr10:uidLastSave="{2ADB7263-CF24-4742-973B-3005590827CC}"/>
  <bookViews>
    <workbookView minimized="1" xWindow="6600" yWindow="2565" windowWidth="19440" windowHeight="9915" tabRatio="848" firstSheet="9" activeTab="2" xr2:uid="{C6A6E05D-63B6-4936-87CA-401F3C93A0F0}"/>
  </bookViews>
  <sheets>
    <sheet name="Contexte et portée" sheetId="26" r:id="rId1"/>
    <sheet name="Risques" sheetId="30" r:id="rId2"/>
    <sheet name="Safeguards" sheetId="72" r:id="rId3"/>
    <sheet name="Controls" sheetId="70" r:id="rId4"/>
    <sheet name="Plan d'action" sheetId="53" r:id="rId5"/>
    <sheet name="PPT Scope" sheetId="85" r:id="rId6"/>
    <sheet name="PPT Risk Summary" sheetId="83" r:id="rId7"/>
    <sheet name="PPT Action Plan" sheetId="91" r:id="rId8"/>
    <sheet name="PPT Risk" sheetId="86" r:id="rId9"/>
    <sheet name="PPT Risk Detailed" sheetId="88" r:id="rId10"/>
    <sheet name="QA" sheetId="90" r:id="rId11"/>
    <sheet name="DATA - PPT" sheetId="84" r:id="rId12"/>
    <sheet name="DATA - Contexte et portée" sheetId="27" r:id="rId13"/>
    <sheet name="DATA - RISQUE" sheetId="31" r:id="rId14"/>
    <sheet name="DATA - Controles" sheetId="34" r:id="rId15"/>
    <sheet name="DATA - QA" sheetId="17" r:id="rId16"/>
    <sheet name="REF - CIS Safeguards" sheetId="81" r:id="rId17"/>
    <sheet name="REF - CIS Controls" sheetId="80" r:id="rId18"/>
    <sheet name="REF - Risques TDSI" sheetId="78" r:id="rId19"/>
    <sheet name="REF - Taxo Cause" sheetId="76" r:id="rId20"/>
    <sheet name="REF - Taxo Risk" sheetId="68" r:id="rId21"/>
    <sheet name="REF - Risk Assessment QA" sheetId="82" r:id="rId22"/>
    <sheet name="Besoin LDD1b" sheetId="79" r:id="rId23"/>
    <sheet name="Requirements" sheetId="71" r:id="rId24"/>
    <sheet name="historique des versions" sheetId="9" r:id="rId25"/>
  </sheets>
  <definedNames>
    <definedName name="_xlnm._FilterDatabase" localSheetId="1" hidden="1">Risques!$A$1:$A$1</definedName>
    <definedName name="_xleta.AND" hidden="1" xlm="1">#NAME?</definedName>
    <definedName name="_xleta.CLEAN" hidden="1" xlm="1">#NAME?</definedName>
    <definedName name="_xleta.FILTER" hidden="1" xlm="1">#NAME?</definedName>
    <definedName name="_xleta.IF" hidden="1" xlm="1">#NAME?</definedName>
    <definedName name="_xleta.IFS" hidden="1" xlm="1">#NAME?</definedName>
    <definedName name="_xleta.TEXTSPLIT" hidden="1" xlm="1">#NAME?</definedName>
    <definedName name="_xleta.XLOOKUP" hidden="1" xlm="1">#NAME?</definedName>
    <definedName name="_xlpm.a_mitiger" hidden="1" xlm="1">#NAME?</definedName>
    <definedName name="_xlpm.arr" hidden="1" xlm="1">#NAME?</definedName>
    <definedName name="_xlpm.clean" hidden="1" xlm="1">#NAME?</definedName>
    <definedName name="_xlpm.controles" hidden="1" xlm="1">#NAME?</definedName>
    <definedName name="_xlpm.controls" hidden="1" xlm="1">#NAME?</definedName>
    <definedName name="_xlpm.ctrl" hidden="1" xlm="1">#NAME?</definedName>
    <definedName name="_xlpm.eff" hidden="1" xlm="1">#NAME?</definedName>
    <definedName name="_xlpm.efficacites" hidden="1" xlm="1">#NAME?</definedName>
    <definedName name="_xlpm.items" hidden="1" xlm="1">#NAME?</definedName>
    <definedName name="_xlpm.lang" hidden="1" xlm="1">#NAME?</definedName>
    <definedName name="_xlpm.lines" hidden="1" xlm="1">#NAME?</definedName>
    <definedName name="_xlpm.nonblank" hidden="1" xlm="1">#NAME?</definedName>
    <definedName name="_xlpm.R" hidden="1" xlm="1">#NAME?</definedName>
    <definedName name="_xlpm.RA" hidden="1" xlm="1">#NAME?</definedName>
    <definedName name="_xlpm.rae" hidden="1" xlm="1">#NAME?</definedName>
    <definedName name="_xlpm.ratio" hidden="1" xlm="1">#NAME?</definedName>
    <definedName name="_xlpm.raw" hidden="1" xlm="1">#NAME?</definedName>
    <definedName name="_xlpm.recommandations" hidden="1" xlm="1">#NAME?</definedName>
    <definedName name="_xlpm.recommendation" hidden="1" xlm="1">#NAME?</definedName>
    <definedName name="_xlpm.recoms" hidden="1" xlm="1">#NAME?</definedName>
    <definedName name="_xlpm.scores" hidden="1" xlm="1">#NAME?</definedName>
    <definedName name="_xlpm.sumG" hidden="1" xlm="1">#NAME?</definedName>
    <definedName name="_xlpm.sumI" hidden="1" xlm="1">#NAME?</definedName>
    <definedName name="_xlpm.totalWeight" hidden="1" xlm="1">#NAME?</definedName>
    <definedName name="_xlpm.translated" hidden="1" xlm="1">#NAME?</definedName>
    <definedName name="_xlpm.val" hidden="1" xlm="1">#NAME?</definedName>
    <definedName name="_xlpm.valid" hidden="1" xlm="1">#NAME?</definedName>
    <definedName name="_xlpm.weightedEfficiency" hidden="1" xlm="1">#NAME?</definedName>
    <definedName name="_xlpm.weightedScores" hidden="1" xlm="1">#NAME?</definedName>
    <definedName name="_xlpm.weights" hidden="1" xlm="1">#NAME?</definedName>
    <definedName name="_xlpm.weightsG" hidden="1" xlm="1">#NAME?</definedName>
    <definedName name="_xlpm.weightsI" hidden="1" xlm="1">#NAME?</definedName>
    <definedName name="AppExposureEN">'DATA - Contexte et portée'!$B$47:$B$49</definedName>
    <definedName name="AppExposureFR">'DATA - Contexte et portée'!$A$47:$A$49</definedName>
    <definedName name="ControlEfficiencyEN">'DATA - Controles'!$B$10:$B$12</definedName>
    <definedName name="ControlEfficiencyFR">'DATA - Controles'!$A$10:$A$12</definedName>
    <definedName name="CONTROLS">tbl_Controls[Controle
Control]</definedName>
    <definedName name="ControlStatusEN">'DATA - Controles'!$B$14:$B$16</definedName>
    <definedName name="ControlStatusFR">'DATA - Controles'!$A$14:$A$16</definedName>
    <definedName name="DocumentLanguage">'Contexte et portée'!$C$1</definedName>
    <definedName name="effglob_EN">'DATA - RISQUE'!$U$16:$W$16</definedName>
    <definedName name="effglob_fr">'DATA - RISQUE'!$P$16:$R$16</definedName>
    <definedName name="EfficientEN">'DATA - Controles'!$B$10</definedName>
    <definedName name="EfficientFR">'DATA - Controles'!$A$10</definedName>
    <definedName name="ExternalData_1" localSheetId="16" hidden="1">'REF - CIS Safeguards'!$A$1:$AJ$154</definedName>
    <definedName name="ExternalData_1" localSheetId="21" hidden="1">'REF - Risk Assessment QA'!$A$1:$E$27</definedName>
    <definedName name="ExternalData_1" localSheetId="18" hidden="1">'REF - Risques TDSI'!$A$1:$AC$7</definedName>
    <definedName name="ExternalData_1" localSheetId="19" hidden="1">'REF - Taxo Cause'!$A$1:$K$58</definedName>
    <definedName name="ExternalData_1" localSheetId="20" hidden="1">'REF - Taxo Risk'!$A$1:$AA$23</definedName>
    <definedName name="ExternalData_2" localSheetId="17" hidden="1">'REF - CIS Controls'!$A$1:$Y$19</definedName>
    <definedName name="FINISHED">INDIRECT("Finished"&amp;DocumentLanguage)</definedName>
    <definedName name="FinishedEN">'DATA - Controles'!$B$4</definedName>
    <definedName name="FinishedFR">'DATA - Controles'!$A$4</definedName>
    <definedName name="InefficientEN">'DATA - Controles'!$B$12</definedName>
    <definedName name="InefficientFR">'DATA - Controles'!$A$12</definedName>
    <definedName name="InherentImpactEN">'DATA - RISQUE'!$H$16:$K$16</definedName>
    <definedName name="InherentImpactFR">'DATA - RISQUE'!$B$16:$E$16</definedName>
    <definedName name="InherentProbabilityEN">'DATA - RISQUE'!$G$17:$G$20</definedName>
    <definedName name="InherentProbabilityFR">'DATA - RISQUE'!$A$17:$A$20</definedName>
    <definedName name="Languages">'DATA - Contexte et portée'!$A$1:$B$1</definedName>
    <definedName name="lst_QA_EN">'DATA - QA'!$B$2:$B$5</definedName>
    <definedName name="lst_QA_FR">'DATA - QA'!$A$2:$A$5</definedName>
    <definedName name="niv_risk_EN">'DATA - RISQUE'!$T$17:$T$20</definedName>
    <definedName name="niv_risk_FR">'DATA - RISQUE'!$O$17:$O$20</definedName>
    <definedName name="NO">INDEX(INDIRECT("ControlStatus"&amp;DocumentLanguage),2)</definedName>
    <definedName name="NOTFOUND">INDIRECT("NotFound"&amp;DocumentLanguage)</definedName>
    <definedName name="NotFoundEN">'DATA - Controles'!$B$18</definedName>
    <definedName name="NotFoundFR">'DATA - Controles'!$A$18</definedName>
    <definedName name="PARTIAL">INDEX(INDIRECT("ControlStatus"&amp;DocumentLanguage),3)</definedName>
    <definedName name="PartiallyEfficientEN">'DATA - Controles'!$B$11</definedName>
    <definedName name="PartiallyEfficientFR">'DATA - Controles'!$A$11</definedName>
    <definedName name="RequirementStatusEN">'DATA - Controles'!$B$1:$B$6</definedName>
    <definedName name="RequirementStatusFR">'DATA - Controles'!$A$1:$A$6</definedName>
    <definedName name="RiskResid_EN">'DATA - RISQUE'!$U$17:$W$20</definedName>
    <definedName name="RiskResid_FR">'DATA - RISQUE'!$P$17:$R$2020</definedName>
    <definedName name="TAXO_CAUSE">INDIRECT("TAXO_CAUSE_"&amp;DocumentLanguage)</definedName>
    <definedName name="TAXO_CAUSE_EN">tbl_REF_TaxoCause[CC_TaxonomieCauses2LDD'[Cause_N4_EN']]</definedName>
    <definedName name="TAXO_CAUSE_FR">tbl_REF_TaxoCause[CC_TaxonomieCauses2LDD'[Causes_N4_FR']]</definedName>
    <definedName name="TAXO_RISK">INDIRECT("TAXO_RISK_"&amp;DocumentLanguage)</definedName>
    <definedName name="TAXO_RISK_EN">tbl_REF_TaxoRisk[CC_TaxonomieRisques2LDD'[N4 - EN']]</definedName>
    <definedName name="TAXO_RISK_FR">tbl_REF_TaxoRisk[CC_TaxonomieRisques2LDD'[N4 - FR']]</definedName>
    <definedName name="TaxoCausesN3">IF(DocumentLanguage="FR",tbl_REF_TaxoCause[CC_TaxonomieCauses2LDD'[Causes_N3_FR']],tbl_REF_TaxoCause[CC_TaxonomieCauses2LDD'[Cause_N3_EN']])</definedName>
    <definedName name="YES">INDEX(INDIRECT("ControlStatus"&amp;DocumentLanguage),1)</definedName>
    <definedName name="YesNoEN">'DATA - Contexte et portée'!$B$44:$B$45</definedName>
    <definedName name="YesNoFR">'DATA - Contexte et portée'!$A$44:$A$45</definedName>
    <definedName name="YesNoNAEN">'DATA - Contexte et portée'!$B$44:$B$46</definedName>
    <definedName name="YesNoNAFR">'DATA - Contexte et portée'!$A$44:$A$46</definedName>
  </definedNames>
  <calcPr calcId="191028" iterateCount="1" calcOnSave="0"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 i="30" l="1" a="1"/>
  <c r="K2" i="30"/>
  <c r="D3" i="83"/>
  <c r="D4" i="83"/>
  <c r="D5" i="83"/>
  <c r="D6" i="83"/>
  <c r="D7" i="83"/>
  <c r="O8" i="30" a="1"/>
  <c r="O8" i="30"/>
  <c r="D8" i="83"/>
  <c r="O9" i="30" a="1"/>
  <c r="O9" i="30"/>
  <c r="D9" i="83"/>
  <c r="O10" i="30" a="1"/>
  <c r="O10" i="30"/>
  <c r="D10" i="83"/>
  <c r="O11" i="30" a="1"/>
  <c r="O11" i="30"/>
  <c r="D11" i="83"/>
  <c r="O12" i="30" a="1"/>
  <c r="O12" i="30"/>
  <c r="O13" i="30" a="1"/>
  <c r="O13" i="30"/>
  <c r="O14" i="30" a="1"/>
  <c r="O14" i="30"/>
  <c r="O15" i="30" a="1"/>
  <c r="O15" i="30"/>
  <c r="O16" i="30" a="1"/>
  <c r="O16" i="30"/>
  <c r="O17" i="30" a="1"/>
  <c r="O17" i="30"/>
  <c r="O18" i="30" a="1"/>
  <c r="O18" i="30"/>
  <c r="O19" i="30" a="1"/>
  <c r="O19" i="30"/>
  <c r="O20" i="30" a="1"/>
  <c r="O20" i="30"/>
  <c r="O21" i="30" a="1"/>
  <c r="O21" i="30"/>
  <c r="O22" i="30" a="1"/>
  <c r="O22" i="30"/>
  <c r="O23" i="30" a="1"/>
  <c r="O23" i="30"/>
  <c r="O24" i="30" a="1"/>
  <c r="O24" i="30"/>
  <c r="O25" i="30" a="1"/>
  <c r="O25" i="30"/>
  <c r="O26" i="30" a="1"/>
  <c r="O26" i="30"/>
  <c r="O27" i="30" a="1"/>
  <c r="O27" i="30"/>
  <c r="O28" i="30" a="1"/>
  <c r="O28" i="30"/>
  <c r="O29" i="30" a="1"/>
  <c r="O29" i="30"/>
  <c r="O30" i="30" a="1"/>
  <c r="O30" i="30"/>
  <c r="O31" i="30" a="1"/>
  <c r="O31" i="30"/>
  <c r="O32" i="30" a="1"/>
  <c r="O32" i="30"/>
  <c r="O33" i="30" a="1"/>
  <c r="O33" i="30"/>
  <c r="O34" i="30" a="1"/>
  <c r="O34" i="30"/>
  <c r="O35" i="30" a="1"/>
  <c r="O35" i="30"/>
  <c r="O36" i="30" a="1"/>
  <c r="O36" i="30"/>
  <c r="O37" i="30" a="1"/>
  <c r="O37" i="30"/>
  <c r="O38" i="30" a="1"/>
  <c r="O38" i="30"/>
  <c r="O39" i="30" a="1"/>
  <c r="O39" i="30"/>
  <c r="O40" i="30" a="1"/>
  <c r="O40" i="30"/>
  <c r="O41" i="30" a="1"/>
  <c r="O41" i="30"/>
  <c r="O42" i="30" a="1"/>
  <c r="O42" i="30"/>
  <c r="O43" i="30" a="1"/>
  <c r="O43" i="30"/>
  <c r="O44" i="30" a="1"/>
  <c r="O44" i="30"/>
  <c r="O45" i="30" a="1"/>
  <c r="O45" i="30"/>
  <c r="O46" i="30" a="1"/>
  <c r="O46" i="30"/>
  <c r="O47" i="30" a="1"/>
  <c r="O47" i="30"/>
  <c r="O48" i="30" a="1"/>
  <c r="O48" i="30"/>
  <c r="O49" i="30" a="1"/>
  <c r="O49" i="30"/>
  <c r="O50" i="30" a="1"/>
  <c r="O50" i="30"/>
  <c r="O51" i="30" a="1"/>
  <c r="O51" i="30"/>
  <c r="O52" i="30" a="1"/>
  <c r="O52" i="30"/>
  <c r="O53" i="30" a="1"/>
  <c r="O53" i="30"/>
  <c r="O54" i="30" a="1"/>
  <c r="O54" i="30"/>
  <c r="O55" i="30" a="1"/>
  <c r="O55" i="30"/>
  <c r="O56" i="30" a="1"/>
  <c r="O56" i="30"/>
  <c r="O57" i="30" a="1"/>
  <c r="O57" i="30"/>
  <c r="O58" i="30" a="1"/>
  <c r="O58" i="30"/>
  <c r="O59" i="30" a="1"/>
  <c r="O59" i="30"/>
  <c r="O60" i="30" a="1"/>
  <c r="O60" i="30"/>
  <c r="O61" i="30" a="1"/>
  <c r="O61" i="30"/>
  <c r="O62" i="30" a="1"/>
  <c r="O62" i="30"/>
  <c r="O63" i="30" a="1"/>
  <c r="O63" i="30"/>
  <c r="O64" i="30" a="1"/>
  <c r="O64" i="30"/>
  <c r="O65" i="30" a="1"/>
  <c r="O65" i="30"/>
  <c r="O66" i="30" a="1"/>
  <c r="O66" i="30"/>
  <c r="O67" i="30" a="1"/>
  <c r="O67" i="30"/>
  <c r="O68" i="30" a="1"/>
  <c r="O68" i="30"/>
  <c r="O69" i="30" a="1"/>
  <c r="O69" i="30"/>
  <c r="O70" i="30" a="1"/>
  <c r="O70" i="30"/>
  <c r="O71" i="30" a="1"/>
  <c r="O71" i="30"/>
  <c r="O72" i="30" a="1"/>
  <c r="O72" i="30"/>
  <c r="O73" i="30" a="1"/>
  <c r="O73" i="30"/>
  <c r="O74" i="30" a="1"/>
  <c r="O74" i="30"/>
  <c r="O75" i="30" a="1"/>
  <c r="O75" i="30"/>
  <c r="O76" i="30" a="1"/>
  <c r="O76" i="30"/>
  <c r="O77" i="30" a="1"/>
  <c r="O77" i="30"/>
  <c r="O78" i="30" a="1"/>
  <c r="O78" i="30"/>
  <c r="O79" i="30" a="1"/>
  <c r="O79" i="30"/>
  <c r="O80" i="30" a="1"/>
  <c r="O80" i="30"/>
  <c r="O81" i="30" a="1"/>
  <c r="O81" i="30"/>
  <c r="O82" i="30" a="1"/>
  <c r="O82" i="30"/>
  <c r="O83" i="30" a="1"/>
  <c r="O83" i="30"/>
  <c r="O84" i="30" a="1"/>
  <c r="O84" i="30"/>
  <c r="O85" i="30" a="1"/>
  <c r="O85" i="30"/>
  <c r="O86" i="30" a="1"/>
  <c r="O86" i="30"/>
  <c r="O87" i="30" a="1"/>
  <c r="O87" i="30"/>
  <c r="O88" i="30" a="1"/>
  <c r="O88" i="30"/>
  <c r="O89" i="30" a="1"/>
  <c r="O89" i="30"/>
  <c r="O90" i="30" a="1"/>
  <c r="O90" i="30"/>
  <c r="O91" i="30" a="1"/>
  <c r="O91" i="30"/>
  <c r="O92" i="30" a="1"/>
  <c r="O92" i="30"/>
  <c r="O93" i="30" a="1"/>
  <c r="O93" i="30"/>
  <c r="O94" i="30" a="1"/>
  <c r="O94" i="30"/>
  <c r="O95" i="30" a="1"/>
  <c r="O95" i="30"/>
  <c r="O96" i="30" a="1"/>
  <c r="O96" i="30"/>
  <c r="O97" i="30" a="1"/>
  <c r="O97" i="30"/>
  <c r="O98" i="30" a="1"/>
  <c r="O98" i="30"/>
  <c r="O99" i="30" a="1"/>
  <c r="O99" i="30"/>
  <c r="O100" i="30" a="1"/>
  <c r="O100" i="30"/>
  <c r="O101" i="30" a="1"/>
  <c r="O101" i="30"/>
  <c r="O102" i="30" a="1"/>
  <c r="O102" i="30"/>
  <c r="O103" i="30" a="1"/>
  <c r="O103" i="30"/>
  <c r="O104" i="30" a="1"/>
  <c r="O104" i="30"/>
  <c r="O105" i="30" a="1"/>
  <c r="O105" i="30"/>
  <c r="O106" i="30" a="1"/>
  <c r="O106" i="30"/>
  <c r="O107" i="30" a="1"/>
  <c r="O107" i="30"/>
  <c r="O108" i="30" a="1"/>
  <c r="O108" i="30"/>
  <c r="O109" i="30" a="1"/>
  <c r="O109" i="30"/>
  <c r="O110" i="30" a="1"/>
  <c r="O110" i="30"/>
  <c r="O111" i="30" a="1"/>
  <c r="O111" i="30"/>
  <c r="O112" i="30" a="1"/>
  <c r="O112" i="30"/>
  <c r="O113" i="30" a="1"/>
  <c r="O113" i="30"/>
  <c r="O114" i="30" a="1"/>
  <c r="O114" i="30"/>
  <c r="O115" i="30" a="1"/>
  <c r="O115" i="30"/>
  <c r="O116" i="30" a="1"/>
  <c r="O116" i="30"/>
  <c r="O117" i="30" a="1"/>
  <c r="O117" i="30"/>
  <c r="O118" i="30" a="1"/>
  <c r="O118" i="30"/>
  <c r="O119" i="30" a="1"/>
  <c r="O119" i="30"/>
  <c r="O120" i="30" a="1"/>
  <c r="O120" i="30"/>
  <c r="O121" i="30" a="1"/>
  <c r="O121" i="30"/>
  <c r="O122" i="30" a="1"/>
  <c r="O122" i="30"/>
  <c r="O123" i="30" a="1"/>
  <c r="O123" i="30"/>
  <c r="O124" i="30" a="1"/>
  <c r="O124" i="30"/>
  <c r="O125" i="30" a="1"/>
  <c r="O125" i="30"/>
  <c r="O126" i="30" a="1"/>
  <c r="O126" i="30"/>
  <c r="O127" i="30" a="1"/>
  <c r="O127" i="30"/>
  <c r="O128" i="30" a="1"/>
  <c r="O128" i="30"/>
  <c r="O129" i="30" a="1"/>
  <c r="O129" i="30"/>
  <c r="O130" i="30" a="1"/>
  <c r="O130" i="30"/>
  <c r="O131" i="30" a="1"/>
  <c r="O131" i="30"/>
  <c r="O132" i="30" a="1"/>
  <c r="O132" i="30"/>
  <c r="O133" i="30" a="1"/>
  <c r="O133" i="30"/>
  <c r="O134" i="30" a="1"/>
  <c r="O134" i="30"/>
  <c r="O135" i="30" a="1"/>
  <c r="O135" i="30"/>
  <c r="O136" i="30" a="1"/>
  <c r="O136" i="30"/>
  <c r="O137" i="30" a="1"/>
  <c r="O137" i="30"/>
  <c r="O138" i="30" a="1"/>
  <c r="O138" i="30"/>
  <c r="O139" i="30" a="1"/>
  <c r="O139" i="30"/>
  <c r="O140" i="30" a="1"/>
  <c r="O140" i="30"/>
  <c r="O141" i="30" a="1"/>
  <c r="O141" i="30"/>
  <c r="O142" i="30" a="1"/>
  <c r="O142" i="30"/>
  <c r="O143" i="30" a="1"/>
  <c r="O143" i="30"/>
  <c r="O144" i="30" a="1"/>
  <c r="O144" i="30"/>
  <c r="O145" i="30" a="1"/>
  <c r="O145" i="30"/>
  <c r="O146" i="30" a="1"/>
  <c r="O146" i="30"/>
  <c r="O147" i="30" a="1"/>
  <c r="O147" i="30"/>
  <c r="O148" i="30" a="1"/>
  <c r="O148" i="30"/>
  <c r="O149" i="30" a="1"/>
  <c r="O149" i="30"/>
  <c r="O150" i="30" a="1"/>
  <c r="O150" i="30"/>
  <c r="O151" i="30" a="1"/>
  <c r="O151" i="30"/>
  <c r="C9" i="88"/>
  <c r="I10" i="86"/>
  <c r="I11" i="86"/>
  <c r="J11" i="86"/>
  <c r="I12" i="86" a="1"/>
  <c r="C2" i="91" a="1"/>
  <c r="C2" i="91"/>
  <c r="C1" i="91"/>
  <c r="C6" i="88"/>
  <c r="C4" i="88"/>
  <c r="B4" i="88"/>
  <c r="A4" i="88"/>
  <c r="A1" i="91"/>
  <c r="A8" i="88"/>
  <c r="A3" i="70"/>
  <c r="A4" i="70"/>
  <c r="A5" i="70"/>
  <c r="A6" i="70"/>
  <c r="A7" i="70"/>
  <c r="A8" i="70"/>
  <c r="A9" i="70"/>
  <c r="A10" i="70"/>
  <c r="A11" i="70"/>
  <c r="A12" i="70"/>
  <c r="A13" i="70"/>
  <c r="A14" i="70"/>
  <c r="A15" i="70"/>
  <c r="A16" i="70"/>
  <c r="A17" i="70"/>
  <c r="A18" i="70"/>
  <c r="A19" i="70"/>
  <c r="B3" i="72"/>
  <c r="B4" i="72"/>
  <c r="B5" i="72"/>
  <c r="B6" i="72"/>
  <c r="B7" i="72"/>
  <c r="B8" i="72"/>
  <c r="B9" i="72"/>
  <c r="B10" i="72"/>
  <c r="B11" i="72"/>
  <c r="B12" i="72"/>
  <c r="B13" i="72"/>
  <c r="B14" i="72"/>
  <c r="B15" i="72"/>
  <c r="B16" i="72"/>
  <c r="B17" i="72"/>
  <c r="B18" i="72"/>
  <c r="B19" i="72"/>
  <c r="B20" i="72"/>
  <c r="B21" i="72"/>
  <c r="B22" i="72"/>
  <c r="B23" i="72"/>
  <c r="B24" i="72"/>
  <c r="B25" i="72"/>
  <c r="B26" i="72"/>
  <c r="B27" i="72"/>
  <c r="B28" i="72"/>
  <c r="B29" i="72"/>
  <c r="B30" i="72"/>
  <c r="B31" i="72"/>
  <c r="B32" i="72"/>
  <c r="B33" i="72"/>
  <c r="B34" i="72"/>
  <c r="B35" i="72"/>
  <c r="B36" i="72"/>
  <c r="B37" i="72"/>
  <c r="B38" i="72"/>
  <c r="B39" i="72"/>
  <c r="B40" i="72"/>
  <c r="B41" i="72"/>
  <c r="B42" i="72"/>
  <c r="B43" i="72"/>
  <c r="B44" i="72"/>
  <c r="B45" i="72"/>
  <c r="B46" i="72"/>
  <c r="B47" i="72"/>
  <c r="B48" i="72"/>
  <c r="B49" i="72"/>
  <c r="B50" i="72"/>
  <c r="B51" i="72"/>
  <c r="B52" i="72"/>
  <c r="B53" i="72"/>
  <c r="B54" i="72"/>
  <c r="B55" i="72"/>
  <c r="B56" i="72"/>
  <c r="B57" i="72"/>
  <c r="B58" i="72"/>
  <c r="B59" i="72"/>
  <c r="B60" i="72"/>
  <c r="B61" i="72"/>
  <c r="B62" i="72"/>
  <c r="B63" i="72"/>
  <c r="B64" i="72"/>
  <c r="B65" i="72"/>
  <c r="B66" i="72"/>
  <c r="B67" i="72"/>
  <c r="B68" i="72"/>
  <c r="B69" i="72"/>
  <c r="B70" i="72"/>
  <c r="B71" i="72"/>
  <c r="B72" i="72"/>
  <c r="B73" i="72"/>
  <c r="B74" i="72"/>
  <c r="B75" i="72"/>
  <c r="B76" i="72"/>
  <c r="B77" i="72"/>
  <c r="B78" i="72"/>
  <c r="B79" i="72"/>
  <c r="B80" i="72"/>
  <c r="B81" i="72"/>
  <c r="B82" i="72"/>
  <c r="B83" i="72"/>
  <c r="B84" i="72"/>
  <c r="B85" i="72"/>
  <c r="B86" i="72"/>
  <c r="B87" i="72"/>
  <c r="B88" i="72"/>
  <c r="B89" i="72"/>
  <c r="B90" i="72"/>
  <c r="B91" i="72"/>
  <c r="B92" i="72"/>
  <c r="B93" i="72"/>
  <c r="B94" i="72"/>
  <c r="B95" i="72"/>
  <c r="B96" i="72"/>
  <c r="B97" i="72"/>
  <c r="B98" i="72"/>
  <c r="B99" i="72"/>
  <c r="B100" i="72"/>
  <c r="B101" i="72"/>
  <c r="B102" i="72"/>
  <c r="B103" i="72"/>
  <c r="B104" i="72"/>
  <c r="B105" i="72"/>
  <c r="B106" i="72"/>
  <c r="B107" i="72"/>
  <c r="B108" i="72"/>
  <c r="B109" i="72"/>
  <c r="B110" i="72"/>
  <c r="B111" i="72"/>
  <c r="B112" i="72"/>
  <c r="B113" i="72"/>
  <c r="B114" i="72"/>
  <c r="B115" i="72"/>
  <c r="B116" i="72"/>
  <c r="B117" i="72"/>
  <c r="B118" i="72"/>
  <c r="B119" i="72"/>
  <c r="B120" i="72"/>
  <c r="B121" i="72"/>
  <c r="B122" i="72"/>
  <c r="B123" i="72"/>
  <c r="B124" i="72"/>
  <c r="B125" i="72"/>
  <c r="B126" i="72"/>
  <c r="B127" i="72"/>
  <c r="B128" i="72"/>
  <c r="B129" i="72"/>
  <c r="B130" i="72"/>
  <c r="B131" i="72"/>
  <c r="B132" i="72"/>
  <c r="B133" i="72"/>
  <c r="B134" i="72"/>
  <c r="B135" i="72"/>
  <c r="B136" i="72"/>
  <c r="B137" i="72"/>
  <c r="B138" i="72"/>
  <c r="B139" i="72"/>
  <c r="B140" i="72"/>
  <c r="B141" i="72"/>
  <c r="B142" i="72"/>
  <c r="B143" i="72"/>
  <c r="B144" i="72"/>
  <c r="B145" i="72"/>
  <c r="B146" i="72"/>
  <c r="B147" i="72"/>
  <c r="B148" i="72"/>
  <c r="B149" i="72"/>
  <c r="B150" i="72"/>
  <c r="B151" i="72"/>
  <c r="B152" i="72"/>
  <c r="B153" i="72"/>
  <c r="B154" i="72"/>
  <c r="A3" i="72"/>
  <c r="I3" i="72" a="1"/>
  <c r="I3" i="72"/>
  <c r="A4" i="72"/>
  <c r="I4" i="72" a="1"/>
  <c r="I4" i="72"/>
  <c r="A5" i="72"/>
  <c r="I5" i="72" a="1"/>
  <c r="I5" i="72"/>
  <c r="A6" i="72"/>
  <c r="I6" i="72" a="1"/>
  <c r="I6" i="72"/>
  <c r="A7" i="72"/>
  <c r="I7" i="72" a="1"/>
  <c r="I7" i="72"/>
  <c r="A8" i="72"/>
  <c r="I8" i="72" a="1"/>
  <c r="I8" i="72"/>
  <c r="A9" i="72"/>
  <c r="I9" i="72" a="1"/>
  <c r="I9" i="72"/>
  <c r="A10" i="72"/>
  <c r="I10" i="72" a="1"/>
  <c r="I10" i="72"/>
  <c r="A11" i="72"/>
  <c r="I11" i="72" a="1"/>
  <c r="I11" i="72"/>
  <c r="A12" i="72"/>
  <c r="I12" i="72" a="1"/>
  <c r="I12" i="72"/>
  <c r="A13" i="72"/>
  <c r="I13" i="72" a="1"/>
  <c r="I13" i="72"/>
  <c r="A14" i="72"/>
  <c r="I14" i="72" a="1"/>
  <c r="I14" i="72"/>
  <c r="A15" i="72"/>
  <c r="I15" i="72" a="1"/>
  <c r="I15" i="72"/>
  <c r="A16" i="72"/>
  <c r="I16" i="72" a="1"/>
  <c r="I16" i="72"/>
  <c r="A17" i="72"/>
  <c r="I17" i="72" a="1"/>
  <c r="I17" i="72"/>
  <c r="A18" i="72"/>
  <c r="I18" i="72" a="1"/>
  <c r="I18" i="72"/>
  <c r="A19" i="72"/>
  <c r="I19" i="72" a="1"/>
  <c r="I19" i="72"/>
  <c r="A20" i="72"/>
  <c r="I20" i="72" a="1"/>
  <c r="I20" i="72"/>
  <c r="A21" i="72"/>
  <c r="I21" i="72" a="1"/>
  <c r="I21" i="72"/>
  <c r="A22" i="72"/>
  <c r="I22" i="72" a="1"/>
  <c r="I22" i="72"/>
  <c r="A23" i="72"/>
  <c r="I23" i="72" a="1"/>
  <c r="I23" i="72"/>
  <c r="A24" i="72"/>
  <c r="I24" i="72" a="1"/>
  <c r="I24" i="72"/>
  <c r="A25" i="72"/>
  <c r="I25" i="72" a="1"/>
  <c r="I25" i="72"/>
  <c r="A26" i="72"/>
  <c r="I26" i="72" a="1"/>
  <c r="I26" i="72"/>
  <c r="A27" i="72"/>
  <c r="I27" i="72" a="1"/>
  <c r="I27" i="72"/>
  <c r="A28" i="72"/>
  <c r="I28" i="72" a="1"/>
  <c r="I28" i="72"/>
  <c r="A29" i="72"/>
  <c r="I29" i="72" a="1"/>
  <c r="I29" i="72"/>
  <c r="A30" i="72"/>
  <c r="I30" i="72" a="1"/>
  <c r="I30" i="72"/>
  <c r="A31" i="72"/>
  <c r="I31" i="72" a="1"/>
  <c r="I31" i="72"/>
  <c r="A32" i="72"/>
  <c r="I32" i="72" a="1"/>
  <c r="I32" i="72"/>
  <c r="A33" i="72"/>
  <c r="I33" i="72" a="1"/>
  <c r="I33" i="72"/>
  <c r="A34" i="72"/>
  <c r="I34" i="72" a="1"/>
  <c r="I34" i="72"/>
  <c r="A35" i="72"/>
  <c r="I35" i="72" a="1"/>
  <c r="I35" i="72"/>
  <c r="A36" i="72"/>
  <c r="I36" i="72" a="1"/>
  <c r="I36" i="72"/>
  <c r="A37" i="72"/>
  <c r="I37" i="72" a="1"/>
  <c r="I37" i="72"/>
  <c r="A38" i="72"/>
  <c r="I38" i="72" a="1"/>
  <c r="I38" i="72"/>
  <c r="A39" i="72"/>
  <c r="I39" i="72" a="1"/>
  <c r="I39" i="72"/>
  <c r="A40" i="72"/>
  <c r="I40" i="72" a="1"/>
  <c r="I40" i="72"/>
  <c r="A41" i="72"/>
  <c r="I41" i="72" a="1"/>
  <c r="I41" i="72"/>
  <c r="A42" i="72"/>
  <c r="I42" i="72" a="1"/>
  <c r="I42" i="72"/>
  <c r="A43" i="72"/>
  <c r="I43" i="72" a="1"/>
  <c r="I43" i="72"/>
  <c r="J43" i="72"/>
  <c r="A44" i="72"/>
  <c r="I44" i="72" a="1"/>
  <c r="I44" i="72"/>
  <c r="J44" i="72"/>
  <c r="A45" i="72"/>
  <c r="I45" i="72" a="1"/>
  <c r="I45" i="72"/>
  <c r="J45" i="72"/>
  <c r="A46" i="72"/>
  <c r="I46" i="72" a="1"/>
  <c r="I46" i="72"/>
  <c r="J46" i="72"/>
  <c r="A47" i="72"/>
  <c r="I47" i="72" a="1"/>
  <c r="I47" i="72"/>
  <c r="J47" i="72"/>
  <c r="A48" i="72"/>
  <c r="I48" i="72" a="1"/>
  <c r="I48" i="72"/>
  <c r="J48" i="72"/>
  <c r="A49" i="72"/>
  <c r="I49" i="72" a="1"/>
  <c r="I49" i="72"/>
  <c r="J49" i="72"/>
  <c r="A50" i="72"/>
  <c r="I50" i="72" a="1"/>
  <c r="I50" i="72"/>
  <c r="J50" i="72"/>
  <c r="A51" i="72"/>
  <c r="I51" i="72" a="1"/>
  <c r="I51" i="72"/>
  <c r="J51" i="72"/>
  <c r="A52" i="72"/>
  <c r="I52" i="72" a="1"/>
  <c r="I52" i="72"/>
  <c r="J52" i="72"/>
  <c r="A53" i="72"/>
  <c r="I53" i="72" a="1"/>
  <c r="I53" i="72"/>
  <c r="J53" i="72"/>
  <c r="A54" i="72"/>
  <c r="I54" i="72" a="1"/>
  <c r="I54" i="72"/>
  <c r="J54" i="72"/>
  <c r="A55" i="72"/>
  <c r="I55" i="72" a="1"/>
  <c r="I55" i="72"/>
  <c r="J55" i="72"/>
  <c r="A56" i="72"/>
  <c r="I56" i="72" a="1"/>
  <c r="I56" i="72"/>
  <c r="J56" i="72"/>
  <c r="A57" i="72"/>
  <c r="I57" i="72" a="1"/>
  <c r="I57" i="72"/>
  <c r="J57" i="72"/>
  <c r="A58" i="72"/>
  <c r="I58" i="72" a="1"/>
  <c r="I58" i="72"/>
  <c r="J58" i="72"/>
  <c r="A59" i="72"/>
  <c r="I59" i="72" a="1"/>
  <c r="I59" i="72"/>
  <c r="J59" i="72"/>
  <c r="A60" i="72"/>
  <c r="I60" i="72" a="1"/>
  <c r="I60" i="72"/>
  <c r="J60" i="72"/>
  <c r="A61" i="72"/>
  <c r="I61" i="72" a="1"/>
  <c r="I61" i="72"/>
  <c r="J61" i="72"/>
  <c r="A62" i="72"/>
  <c r="I62" i="72" a="1"/>
  <c r="I62" i="72"/>
  <c r="J62" i="72"/>
  <c r="A63" i="72"/>
  <c r="I63" i="72" a="1"/>
  <c r="I63" i="72"/>
  <c r="J63" i="72"/>
  <c r="A64" i="72"/>
  <c r="I64" i="72" a="1"/>
  <c r="I64" i="72"/>
  <c r="J64" i="72"/>
  <c r="A65" i="72"/>
  <c r="I65" i="72" a="1"/>
  <c r="I65" i="72"/>
  <c r="J65" i="72"/>
  <c r="A66" i="72"/>
  <c r="I66" i="72" a="1"/>
  <c r="I66" i="72"/>
  <c r="J66" i="72"/>
  <c r="A67" i="72"/>
  <c r="I67" i="72" a="1"/>
  <c r="I67" i="72"/>
  <c r="J67" i="72"/>
  <c r="A68" i="72"/>
  <c r="I68" i="72" a="1"/>
  <c r="I68" i="72"/>
  <c r="J68" i="72"/>
  <c r="A69" i="72"/>
  <c r="I69" i="72" a="1"/>
  <c r="I69" i="72"/>
  <c r="J69" i="72"/>
  <c r="A70" i="72"/>
  <c r="I70" i="72" a="1"/>
  <c r="I70" i="72"/>
  <c r="J70" i="72"/>
  <c r="A71" i="72"/>
  <c r="I71" i="72" a="1"/>
  <c r="I71" i="72"/>
  <c r="J71" i="72"/>
  <c r="A72" i="72"/>
  <c r="I72" i="72" a="1"/>
  <c r="I72" i="72"/>
  <c r="J72" i="72"/>
  <c r="A73" i="72"/>
  <c r="I73" i="72" a="1"/>
  <c r="I73" i="72"/>
  <c r="J73" i="72"/>
  <c r="A74" i="72"/>
  <c r="I74" i="72" a="1"/>
  <c r="I74" i="72"/>
  <c r="J74" i="72"/>
  <c r="A75" i="72"/>
  <c r="I75" i="72" a="1"/>
  <c r="I75" i="72"/>
  <c r="J75" i="72"/>
  <c r="A76" i="72"/>
  <c r="I76" i="72" a="1"/>
  <c r="I76" i="72"/>
  <c r="J76" i="72"/>
  <c r="A77" i="72"/>
  <c r="I77" i="72" a="1"/>
  <c r="I77" i="72"/>
  <c r="J77" i="72"/>
  <c r="A78" i="72"/>
  <c r="I78" i="72" a="1"/>
  <c r="I78" i="72"/>
  <c r="J78" i="72"/>
  <c r="A79" i="72"/>
  <c r="I79" i="72" a="1"/>
  <c r="I79" i="72"/>
  <c r="J79" i="72"/>
  <c r="A80" i="72"/>
  <c r="I80" i="72" a="1"/>
  <c r="I80" i="72"/>
  <c r="J80" i="72"/>
  <c r="A81" i="72"/>
  <c r="I81" i="72" a="1"/>
  <c r="I81" i="72"/>
  <c r="J81" i="72"/>
  <c r="A82" i="72"/>
  <c r="I82" i="72" a="1"/>
  <c r="I82" i="72"/>
  <c r="J82" i="72"/>
  <c r="A83" i="72"/>
  <c r="I83" i="72" a="1"/>
  <c r="I83" i="72"/>
  <c r="J83" i="72"/>
  <c r="A84" i="72"/>
  <c r="I84" i="72" a="1"/>
  <c r="I84" i="72"/>
  <c r="J84" i="72"/>
  <c r="A85" i="72"/>
  <c r="I85" i="72" a="1"/>
  <c r="I85" i="72"/>
  <c r="J85" i="72"/>
  <c r="A86" i="72"/>
  <c r="I86" i="72" a="1"/>
  <c r="I86" i="72"/>
  <c r="J86" i="72"/>
  <c r="A87" i="72"/>
  <c r="I87" i="72" a="1"/>
  <c r="I87" i="72"/>
  <c r="J87" i="72"/>
  <c r="A88" i="72"/>
  <c r="I88" i="72" a="1"/>
  <c r="I88" i="72"/>
  <c r="J88" i="72"/>
  <c r="A89" i="72"/>
  <c r="I89" i="72" a="1"/>
  <c r="I89" i="72"/>
  <c r="J89" i="72"/>
  <c r="A90" i="72"/>
  <c r="I90" i="72" a="1"/>
  <c r="I90" i="72"/>
  <c r="J90" i="72"/>
  <c r="A91" i="72"/>
  <c r="I91" i="72" a="1"/>
  <c r="I91" i="72"/>
  <c r="J91" i="72"/>
  <c r="A92" i="72"/>
  <c r="I92" i="72" a="1"/>
  <c r="I92" i="72"/>
  <c r="J92" i="72"/>
  <c r="A93" i="72"/>
  <c r="I93" i="72" a="1"/>
  <c r="I93" i="72"/>
  <c r="J93" i="72"/>
  <c r="A94" i="72"/>
  <c r="I94" i="72" a="1"/>
  <c r="I94" i="72"/>
  <c r="J94" i="72"/>
  <c r="A95" i="72"/>
  <c r="I95" i="72" a="1"/>
  <c r="I95" i="72"/>
  <c r="J95" i="72"/>
  <c r="A96" i="72"/>
  <c r="I96" i="72" a="1"/>
  <c r="I96" i="72"/>
  <c r="J96" i="72"/>
  <c r="A97" i="72"/>
  <c r="I97" i="72" a="1"/>
  <c r="I97" i="72"/>
  <c r="J97" i="72"/>
  <c r="A98" i="72"/>
  <c r="I98" i="72" a="1"/>
  <c r="I98" i="72"/>
  <c r="J98" i="72"/>
  <c r="A99" i="72"/>
  <c r="I99" i="72" a="1"/>
  <c r="I99" i="72"/>
  <c r="J99" i="72"/>
  <c r="A100" i="72"/>
  <c r="I100" i="72" a="1"/>
  <c r="I100" i="72"/>
  <c r="J100" i="72"/>
  <c r="A101" i="72"/>
  <c r="I101" i="72" a="1"/>
  <c r="I101" i="72"/>
  <c r="J101" i="72"/>
  <c r="A102" i="72"/>
  <c r="I102" i="72" a="1"/>
  <c r="I102" i="72"/>
  <c r="J102" i="72"/>
  <c r="A103" i="72"/>
  <c r="I103" i="72" a="1"/>
  <c r="I103" i="72"/>
  <c r="J103" i="72"/>
  <c r="A104" i="72"/>
  <c r="I104" i="72" a="1"/>
  <c r="I104" i="72"/>
  <c r="J104" i="72"/>
  <c r="A105" i="72"/>
  <c r="I105" i="72" a="1"/>
  <c r="I105" i="72"/>
  <c r="J105" i="72"/>
  <c r="A106" i="72"/>
  <c r="I106" i="72" a="1"/>
  <c r="I106" i="72"/>
  <c r="J106" i="72"/>
  <c r="A107" i="72"/>
  <c r="I107" i="72" a="1"/>
  <c r="I107" i="72"/>
  <c r="J107" i="72"/>
  <c r="A108" i="72"/>
  <c r="I108" i="72" a="1"/>
  <c r="I108" i="72"/>
  <c r="J108" i="72"/>
  <c r="A109" i="72"/>
  <c r="I109" i="72" a="1"/>
  <c r="I109" i="72"/>
  <c r="J109" i="72"/>
  <c r="A110" i="72"/>
  <c r="I110" i="72" a="1"/>
  <c r="I110" i="72"/>
  <c r="J110" i="72"/>
  <c r="A111" i="72"/>
  <c r="I111" i="72" a="1"/>
  <c r="I111" i="72"/>
  <c r="J111" i="72"/>
  <c r="A112" i="72"/>
  <c r="I112" i="72" a="1"/>
  <c r="I112" i="72"/>
  <c r="J112" i="72"/>
  <c r="A113" i="72"/>
  <c r="I113" i="72" a="1"/>
  <c r="I113" i="72"/>
  <c r="J113" i="72"/>
  <c r="A114" i="72"/>
  <c r="I114" i="72" a="1"/>
  <c r="I114" i="72"/>
  <c r="J114" i="72"/>
  <c r="A115" i="72"/>
  <c r="I115" i="72" a="1"/>
  <c r="I115" i="72"/>
  <c r="J115" i="72"/>
  <c r="A116" i="72"/>
  <c r="I116" i="72" a="1"/>
  <c r="I116" i="72"/>
  <c r="J116" i="72"/>
  <c r="A117" i="72"/>
  <c r="I117" i="72" a="1"/>
  <c r="I117" i="72"/>
  <c r="J117" i="72"/>
  <c r="A118" i="72"/>
  <c r="I118" i="72" a="1"/>
  <c r="I118" i="72"/>
  <c r="J118" i="72"/>
  <c r="A119" i="72"/>
  <c r="I119" i="72" a="1"/>
  <c r="I119" i="72"/>
  <c r="J119" i="72"/>
  <c r="A120" i="72"/>
  <c r="I120" i="72" a="1"/>
  <c r="I120" i="72"/>
  <c r="J120" i="72"/>
  <c r="A121" i="72"/>
  <c r="I121" i="72" a="1"/>
  <c r="I121" i="72"/>
  <c r="J121" i="72"/>
  <c r="A122" i="72"/>
  <c r="I122" i="72" a="1"/>
  <c r="I122" i="72"/>
  <c r="J122" i="72"/>
  <c r="A123" i="72"/>
  <c r="I123" i="72" a="1"/>
  <c r="I123" i="72"/>
  <c r="J123" i="72"/>
  <c r="A124" i="72"/>
  <c r="I124" i="72" a="1"/>
  <c r="I124" i="72"/>
  <c r="J124" i="72"/>
  <c r="A125" i="72"/>
  <c r="I125" i="72" a="1"/>
  <c r="I125" i="72"/>
  <c r="J125" i="72"/>
  <c r="A126" i="72"/>
  <c r="I126" i="72" a="1"/>
  <c r="I126" i="72"/>
  <c r="J126" i="72"/>
  <c r="A127" i="72"/>
  <c r="I127" i="72" a="1"/>
  <c r="I127" i="72"/>
  <c r="J127" i="72"/>
  <c r="A128" i="72"/>
  <c r="I128" i="72" a="1"/>
  <c r="I128" i="72"/>
  <c r="J128" i="72"/>
  <c r="A129" i="72"/>
  <c r="I129" i="72" a="1"/>
  <c r="I129" i="72"/>
  <c r="J129" i="72"/>
  <c r="A130" i="72"/>
  <c r="I130" i="72" a="1"/>
  <c r="I130" i="72"/>
  <c r="J130" i="72"/>
  <c r="A131" i="72"/>
  <c r="I131" i="72" a="1"/>
  <c r="I131" i="72"/>
  <c r="J131" i="72"/>
  <c r="A132" i="72"/>
  <c r="I132" i="72" a="1"/>
  <c r="I132" i="72"/>
  <c r="J132" i="72"/>
  <c r="A133" i="72"/>
  <c r="I133" i="72" a="1"/>
  <c r="I133" i="72"/>
  <c r="J133" i="72"/>
  <c r="A134" i="72"/>
  <c r="I134" i="72" a="1"/>
  <c r="I134" i="72"/>
  <c r="J134" i="72"/>
  <c r="A135" i="72"/>
  <c r="I135" i="72" a="1"/>
  <c r="I135" i="72"/>
  <c r="J135" i="72"/>
  <c r="A136" i="72"/>
  <c r="I136" i="72" a="1"/>
  <c r="I136" i="72"/>
  <c r="J136" i="72"/>
  <c r="A137" i="72"/>
  <c r="I137" i="72" a="1"/>
  <c r="I137" i="72"/>
  <c r="J137" i="72"/>
  <c r="A138" i="72"/>
  <c r="I138" i="72" a="1"/>
  <c r="I138" i="72"/>
  <c r="J138" i="72"/>
  <c r="A139" i="72"/>
  <c r="I139" i="72" a="1"/>
  <c r="I139" i="72"/>
  <c r="J139" i="72"/>
  <c r="A140" i="72"/>
  <c r="I140" i="72" a="1"/>
  <c r="I140" i="72"/>
  <c r="J140" i="72"/>
  <c r="A141" i="72"/>
  <c r="I141" i="72" a="1"/>
  <c r="I141" i="72"/>
  <c r="J141" i="72"/>
  <c r="A142" i="72"/>
  <c r="I142" i="72" a="1"/>
  <c r="I142" i="72"/>
  <c r="J142" i="72"/>
  <c r="A143" i="72"/>
  <c r="I143" i="72" a="1"/>
  <c r="I143" i="72"/>
  <c r="J143" i="72"/>
  <c r="A144" i="72"/>
  <c r="I144" i="72" a="1"/>
  <c r="I144" i="72"/>
  <c r="J144" i="72"/>
  <c r="A145" i="72"/>
  <c r="I145" i="72" a="1"/>
  <c r="I145" i="72"/>
  <c r="J145" i="72"/>
  <c r="A146" i="72"/>
  <c r="I146" i="72" a="1"/>
  <c r="I146" i="72"/>
  <c r="J146" i="72"/>
  <c r="A147" i="72"/>
  <c r="I147" i="72" a="1"/>
  <c r="I147" i="72"/>
  <c r="J147" i="72"/>
  <c r="A148" i="72"/>
  <c r="I148" i="72" a="1"/>
  <c r="I148" i="72"/>
  <c r="J148" i="72"/>
  <c r="A149" i="72"/>
  <c r="I149" i="72" a="1"/>
  <c r="I149" i="72"/>
  <c r="J149" i="72"/>
  <c r="A150" i="72"/>
  <c r="I150" i="72" a="1"/>
  <c r="I150" i="72"/>
  <c r="J150" i="72"/>
  <c r="A151" i="72"/>
  <c r="I151" i="72" a="1"/>
  <c r="I151" i="72"/>
  <c r="J151" i="72"/>
  <c r="A152" i="72"/>
  <c r="I152" i="72" a="1"/>
  <c r="I152" i="72"/>
  <c r="J152" i="72"/>
  <c r="A153" i="72"/>
  <c r="I153" i="72" a="1"/>
  <c r="I153" i="72"/>
  <c r="J153" i="72"/>
  <c r="A154" i="72"/>
  <c r="I154" i="72" a="1"/>
  <c r="I154" i="72"/>
  <c r="J154" i="72"/>
  <c r="N8" i="30" a="1"/>
  <c r="N8" i="30"/>
  <c r="N9" i="30" a="1"/>
  <c r="N9" i="30"/>
  <c r="N10" i="30" a="1"/>
  <c r="N10" i="30"/>
  <c r="N11" i="30" a="1"/>
  <c r="N11" i="30"/>
  <c r="N12" i="30" a="1"/>
  <c r="N12" i="30"/>
  <c r="N13" i="30" a="1"/>
  <c r="N13" i="30"/>
  <c r="N14" i="30" a="1"/>
  <c r="N14" i="30"/>
  <c r="N15" i="30" a="1"/>
  <c r="N15" i="30"/>
  <c r="N16" i="30" a="1"/>
  <c r="N16" i="30"/>
  <c r="N17" i="30" a="1"/>
  <c r="N17" i="30"/>
  <c r="N18" i="30" a="1"/>
  <c r="N18" i="30"/>
  <c r="N19" i="30" a="1"/>
  <c r="N19" i="30"/>
  <c r="N20" i="30" a="1"/>
  <c r="N20" i="30"/>
  <c r="N21" i="30" a="1"/>
  <c r="N21" i="30"/>
  <c r="N22" i="30" a="1"/>
  <c r="N22" i="30"/>
  <c r="N23" i="30" a="1"/>
  <c r="N23" i="30"/>
  <c r="N24" i="30" a="1"/>
  <c r="N24" i="30"/>
  <c r="N25" i="30" a="1"/>
  <c r="N25" i="30"/>
  <c r="N26" i="30" a="1"/>
  <c r="N26" i="30"/>
  <c r="N27" i="30" a="1"/>
  <c r="N27" i="30"/>
  <c r="N28" i="30" a="1"/>
  <c r="N28" i="30"/>
  <c r="N29" i="30" a="1"/>
  <c r="N29" i="30"/>
  <c r="N30" i="30" a="1"/>
  <c r="N30" i="30"/>
  <c r="N31" i="30" a="1"/>
  <c r="N31" i="30"/>
  <c r="N32" i="30" a="1"/>
  <c r="N32" i="30"/>
  <c r="N33" i="30" a="1"/>
  <c r="N33" i="30"/>
  <c r="N34" i="30" a="1"/>
  <c r="N34" i="30"/>
  <c r="N35" i="30" a="1"/>
  <c r="N35" i="30"/>
  <c r="N36" i="30" a="1"/>
  <c r="N36" i="30"/>
  <c r="N37" i="30" a="1"/>
  <c r="N37" i="30"/>
  <c r="N38" i="30" a="1"/>
  <c r="N38" i="30"/>
  <c r="N39" i="30" a="1"/>
  <c r="N39" i="30"/>
  <c r="N40" i="30" a="1"/>
  <c r="N40" i="30"/>
  <c r="N41" i="30" a="1"/>
  <c r="N41" i="30"/>
  <c r="N42" i="30" a="1"/>
  <c r="N42" i="30"/>
  <c r="N43" i="30" a="1"/>
  <c r="N43" i="30"/>
  <c r="N44" i="30" a="1"/>
  <c r="N44" i="30"/>
  <c r="N45" i="30" a="1"/>
  <c r="N45" i="30"/>
  <c r="N46" i="30" a="1"/>
  <c r="N46" i="30"/>
  <c r="N47" i="30" a="1"/>
  <c r="N47" i="30"/>
  <c r="N48" i="30" a="1"/>
  <c r="N48" i="30"/>
  <c r="N49" i="30" a="1"/>
  <c r="N49" i="30"/>
  <c r="N50" i="30" a="1"/>
  <c r="N50" i="30"/>
  <c r="N51" i="30" a="1"/>
  <c r="N51" i="30"/>
  <c r="N52" i="30" a="1"/>
  <c r="N52" i="30"/>
  <c r="N53" i="30" a="1"/>
  <c r="N53" i="30"/>
  <c r="N54" i="30" a="1"/>
  <c r="N54" i="30"/>
  <c r="N55" i="30" a="1"/>
  <c r="N55" i="30"/>
  <c r="N56" i="30" a="1"/>
  <c r="N56" i="30"/>
  <c r="N57" i="30" a="1"/>
  <c r="N57" i="30"/>
  <c r="N58" i="30" a="1"/>
  <c r="N58" i="30"/>
  <c r="N59" i="30" a="1"/>
  <c r="N59" i="30"/>
  <c r="N60" i="30" a="1"/>
  <c r="N60" i="30"/>
  <c r="N61" i="30" a="1"/>
  <c r="N61" i="30"/>
  <c r="N62" i="30" a="1"/>
  <c r="N62" i="30"/>
  <c r="N63" i="30" a="1"/>
  <c r="N63" i="30"/>
  <c r="N64" i="30" a="1"/>
  <c r="N64" i="30"/>
  <c r="N65" i="30" a="1"/>
  <c r="N65" i="30"/>
  <c r="N66" i="30" a="1"/>
  <c r="N66" i="30"/>
  <c r="N67" i="30" a="1"/>
  <c r="N67" i="30"/>
  <c r="N68" i="30" a="1"/>
  <c r="N68" i="30"/>
  <c r="N69" i="30" a="1"/>
  <c r="N69" i="30"/>
  <c r="N70" i="30" a="1"/>
  <c r="N70" i="30"/>
  <c r="N71" i="30" a="1"/>
  <c r="N71" i="30"/>
  <c r="N72" i="30" a="1"/>
  <c r="N72" i="30"/>
  <c r="N73" i="30" a="1"/>
  <c r="N73" i="30"/>
  <c r="N74" i="30" a="1"/>
  <c r="N74" i="30"/>
  <c r="N75" i="30" a="1"/>
  <c r="N75" i="30"/>
  <c r="N76" i="30" a="1"/>
  <c r="N76" i="30"/>
  <c r="N77" i="30" a="1"/>
  <c r="N77" i="30"/>
  <c r="N78" i="30" a="1"/>
  <c r="N78" i="30"/>
  <c r="N79" i="30" a="1"/>
  <c r="N79" i="30"/>
  <c r="N80" i="30" a="1"/>
  <c r="N80" i="30"/>
  <c r="N81" i="30" a="1"/>
  <c r="N81" i="30"/>
  <c r="N82" i="30" a="1"/>
  <c r="N82" i="30"/>
  <c r="N83" i="30" a="1"/>
  <c r="N83" i="30"/>
  <c r="N84" i="30" a="1"/>
  <c r="N84" i="30"/>
  <c r="N85" i="30" a="1"/>
  <c r="N85" i="30"/>
  <c r="N86" i="30" a="1"/>
  <c r="N86" i="30"/>
  <c r="N87" i="30" a="1"/>
  <c r="N87" i="30"/>
  <c r="N88" i="30" a="1"/>
  <c r="N88" i="30"/>
  <c r="N89" i="30" a="1"/>
  <c r="N89" i="30"/>
  <c r="N90" i="30" a="1"/>
  <c r="N90" i="30"/>
  <c r="N91" i="30" a="1"/>
  <c r="N91" i="30"/>
  <c r="N92" i="30" a="1"/>
  <c r="N92" i="30"/>
  <c r="N93" i="30" a="1"/>
  <c r="N93" i="30"/>
  <c r="N94" i="30" a="1"/>
  <c r="N94" i="30"/>
  <c r="N95" i="30" a="1"/>
  <c r="N95" i="30"/>
  <c r="N96" i="30" a="1"/>
  <c r="N96" i="30"/>
  <c r="N97" i="30" a="1"/>
  <c r="N97" i="30"/>
  <c r="N98" i="30" a="1"/>
  <c r="N98" i="30"/>
  <c r="N99" i="30" a="1"/>
  <c r="N99" i="30"/>
  <c r="N100" i="30" a="1"/>
  <c r="N100" i="30"/>
  <c r="N101" i="30" a="1"/>
  <c r="N101" i="30"/>
  <c r="N102" i="30" a="1"/>
  <c r="N102" i="30"/>
  <c r="N103" i="30" a="1"/>
  <c r="N103" i="30"/>
  <c r="N104" i="30" a="1"/>
  <c r="N104" i="30"/>
  <c r="N105" i="30" a="1"/>
  <c r="N105" i="30"/>
  <c r="N106" i="30" a="1"/>
  <c r="N106" i="30"/>
  <c r="N107" i="30" a="1"/>
  <c r="N107" i="30"/>
  <c r="N108" i="30" a="1"/>
  <c r="N108" i="30"/>
  <c r="N109" i="30" a="1"/>
  <c r="N109" i="30"/>
  <c r="N110" i="30" a="1"/>
  <c r="N110" i="30"/>
  <c r="N111" i="30" a="1"/>
  <c r="N111" i="30"/>
  <c r="N112" i="30" a="1"/>
  <c r="N112" i="30"/>
  <c r="N113" i="30" a="1"/>
  <c r="N113" i="30"/>
  <c r="N114" i="30" a="1"/>
  <c r="N114" i="30"/>
  <c r="N115" i="30" a="1"/>
  <c r="N115" i="30"/>
  <c r="N116" i="30" a="1"/>
  <c r="N116" i="30"/>
  <c r="N117" i="30" a="1"/>
  <c r="N117" i="30"/>
  <c r="N118" i="30" a="1"/>
  <c r="N118" i="30"/>
  <c r="N119" i="30" a="1"/>
  <c r="N119" i="30"/>
  <c r="N120" i="30" a="1"/>
  <c r="N120" i="30"/>
  <c r="N121" i="30" a="1"/>
  <c r="N121" i="30"/>
  <c r="N122" i="30" a="1"/>
  <c r="N122" i="30"/>
  <c r="N123" i="30" a="1"/>
  <c r="N123" i="30"/>
  <c r="N124" i="30" a="1"/>
  <c r="N124" i="30"/>
  <c r="N125" i="30" a="1"/>
  <c r="N125" i="30"/>
  <c r="N126" i="30" a="1"/>
  <c r="N126" i="30"/>
  <c r="N127" i="30" a="1"/>
  <c r="N127" i="30"/>
  <c r="N128" i="30" a="1"/>
  <c r="N128" i="30"/>
  <c r="N129" i="30" a="1"/>
  <c r="N129" i="30"/>
  <c r="N130" i="30" a="1"/>
  <c r="N130" i="30"/>
  <c r="N131" i="30" a="1"/>
  <c r="N131" i="30"/>
  <c r="N132" i="30" a="1"/>
  <c r="N132" i="30"/>
  <c r="N133" i="30" a="1"/>
  <c r="N133" i="30"/>
  <c r="N134" i="30" a="1"/>
  <c r="N134" i="30"/>
  <c r="N135" i="30" a="1"/>
  <c r="N135" i="30"/>
  <c r="N136" i="30" a="1"/>
  <c r="N136" i="30"/>
  <c r="N137" i="30" a="1"/>
  <c r="N137" i="30"/>
  <c r="N138" i="30" a="1"/>
  <c r="N138" i="30"/>
  <c r="N139" i="30" a="1"/>
  <c r="N139" i="30"/>
  <c r="N140" i="30" a="1"/>
  <c r="N140" i="30"/>
  <c r="N141" i="30" a="1"/>
  <c r="N141" i="30"/>
  <c r="N142" i="30" a="1"/>
  <c r="N142" i="30"/>
  <c r="N143" i="30" a="1"/>
  <c r="N143" i="30"/>
  <c r="N144" i="30" a="1"/>
  <c r="N144" i="30"/>
  <c r="N145" i="30" a="1"/>
  <c r="N145" i="30"/>
  <c r="N146" i="30" a="1"/>
  <c r="N146" i="30"/>
  <c r="N147" i="30" a="1"/>
  <c r="N147" i="30"/>
  <c r="N148" i="30" a="1"/>
  <c r="N148" i="30"/>
  <c r="N149" i="30" a="1"/>
  <c r="N149" i="30"/>
  <c r="N150" i="30" a="1"/>
  <c r="N150" i="30"/>
  <c r="N151" i="30" a="1"/>
  <c r="N151" i="30"/>
  <c r="C3" i="83"/>
  <c r="C4" i="83"/>
  <c r="C5" i="83"/>
  <c r="C6" i="83"/>
  <c r="C7" i="83"/>
  <c r="I8" i="30" a="1"/>
  <c r="I8" i="30"/>
  <c r="C8" i="83"/>
  <c r="I9" i="30" a="1"/>
  <c r="I9" i="30"/>
  <c r="C9" i="83"/>
  <c r="I10" i="30" a="1"/>
  <c r="I10" i="30"/>
  <c r="C10" i="83"/>
  <c r="I11" i="30" a="1"/>
  <c r="I11" i="30"/>
  <c r="C11" i="83"/>
  <c r="I12" i="30" a="1"/>
  <c r="I12" i="30"/>
  <c r="I13" i="30" a="1"/>
  <c r="I13" i="30"/>
  <c r="I14" i="30" a="1"/>
  <c r="I14" i="30"/>
  <c r="I15" i="30" a="1"/>
  <c r="I15" i="30"/>
  <c r="I16" i="30" a="1"/>
  <c r="I16" i="30"/>
  <c r="I17" i="30" a="1"/>
  <c r="I17" i="30"/>
  <c r="I18" i="30" a="1"/>
  <c r="I18" i="30"/>
  <c r="I19" i="30" a="1"/>
  <c r="I19" i="30"/>
  <c r="I20" i="30" a="1"/>
  <c r="I20" i="30"/>
  <c r="I21" i="30" a="1"/>
  <c r="I21" i="30"/>
  <c r="I22" i="30" a="1"/>
  <c r="I22" i="30"/>
  <c r="I23" i="30" a="1"/>
  <c r="I23" i="30"/>
  <c r="I24" i="30" a="1"/>
  <c r="I24" i="30"/>
  <c r="I25" i="30" a="1"/>
  <c r="I25" i="30"/>
  <c r="I26" i="30" a="1"/>
  <c r="I26" i="30"/>
  <c r="I27" i="30" a="1"/>
  <c r="I27" i="30"/>
  <c r="I28" i="30" a="1"/>
  <c r="I28" i="30"/>
  <c r="I29" i="30" a="1"/>
  <c r="I29" i="30"/>
  <c r="I30" i="30" a="1"/>
  <c r="I30" i="30"/>
  <c r="I31" i="30" a="1"/>
  <c r="I31" i="30"/>
  <c r="I32" i="30" a="1"/>
  <c r="I32" i="30"/>
  <c r="I33" i="30" a="1"/>
  <c r="I33" i="30"/>
  <c r="I34" i="30" a="1"/>
  <c r="I34" i="30"/>
  <c r="I35" i="30" a="1"/>
  <c r="I35" i="30"/>
  <c r="I36" i="30" a="1"/>
  <c r="I36" i="30"/>
  <c r="I37" i="30" a="1"/>
  <c r="I37" i="30"/>
  <c r="I38" i="30" a="1"/>
  <c r="I38" i="30"/>
  <c r="I39" i="30" a="1"/>
  <c r="I39" i="30"/>
  <c r="I40" i="30" a="1"/>
  <c r="I40" i="30"/>
  <c r="I41" i="30" a="1"/>
  <c r="I41" i="30"/>
  <c r="I42" i="30" a="1"/>
  <c r="I42" i="30"/>
  <c r="I43" i="30" a="1"/>
  <c r="I43" i="30"/>
  <c r="I44" i="30" a="1"/>
  <c r="I44" i="30"/>
  <c r="I45" i="30" a="1"/>
  <c r="I45" i="30"/>
  <c r="I46" i="30" a="1"/>
  <c r="I46" i="30"/>
  <c r="I47" i="30" a="1"/>
  <c r="I47" i="30"/>
  <c r="I48" i="30" a="1"/>
  <c r="I48" i="30"/>
  <c r="I49" i="30" a="1"/>
  <c r="I49" i="30"/>
  <c r="I50" i="30" a="1"/>
  <c r="I50" i="30"/>
  <c r="I51" i="30" a="1"/>
  <c r="I51" i="30"/>
  <c r="I52" i="30" a="1"/>
  <c r="I52" i="30"/>
  <c r="I53" i="30" a="1"/>
  <c r="I53" i="30"/>
  <c r="I54" i="30" a="1"/>
  <c r="I54" i="30"/>
  <c r="I55" i="30" a="1"/>
  <c r="I55" i="30"/>
  <c r="I56" i="30" a="1"/>
  <c r="I56" i="30"/>
  <c r="I57" i="30" a="1"/>
  <c r="I57" i="30"/>
  <c r="I58" i="30" a="1"/>
  <c r="I58" i="30"/>
  <c r="I59" i="30" a="1"/>
  <c r="I59" i="30"/>
  <c r="I60" i="30" a="1"/>
  <c r="I60" i="30"/>
  <c r="I61" i="30" a="1"/>
  <c r="I61" i="30"/>
  <c r="I62" i="30" a="1"/>
  <c r="I62" i="30"/>
  <c r="I63" i="30" a="1"/>
  <c r="I63" i="30"/>
  <c r="I64" i="30" a="1"/>
  <c r="I64" i="30"/>
  <c r="I65" i="30" a="1"/>
  <c r="I65" i="30"/>
  <c r="I66" i="30" a="1"/>
  <c r="I66" i="30"/>
  <c r="I67" i="30" a="1"/>
  <c r="I67" i="30"/>
  <c r="I68" i="30" a="1"/>
  <c r="I68" i="30"/>
  <c r="I69" i="30" a="1"/>
  <c r="I69" i="30"/>
  <c r="I70" i="30" a="1"/>
  <c r="I70" i="30"/>
  <c r="I71" i="30" a="1"/>
  <c r="I71" i="30"/>
  <c r="I72" i="30" a="1"/>
  <c r="I72" i="30"/>
  <c r="I73" i="30" a="1"/>
  <c r="I73" i="30"/>
  <c r="I74" i="30" a="1"/>
  <c r="I74" i="30"/>
  <c r="I75" i="30" a="1"/>
  <c r="I75" i="30"/>
  <c r="I76" i="30" a="1"/>
  <c r="I76" i="30"/>
  <c r="I77" i="30" a="1"/>
  <c r="I77" i="30"/>
  <c r="I78" i="30" a="1"/>
  <c r="I78" i="30"/>
  <c r="I79" i="30" a="1"/>
  <c r="I79" i="30"/>
  <c r="I80" i="30" a="1"/>
  <c r="I80" i="30"/>
  <c r="I81" i="30" a="1"/>
  <c r="I81" i="30"/>
  <c r="I82" i="30" a="1"/>
  <c r="I82" i="30"/>
  <c r="I83" i="30" a="1"/>
  <c r="I83" i="30"/>
  <c r="I84" i="30" a="1"/>
  <c r="I84" i="30"/>
  <c r="I85" i="30" a="1"/>
  <c r="I85" i="30"/>
  <c r="I86" i="30" a="1"/>
  <c r="I86" i="30"/>
  <c r="I87" i="30" a="1"/>
  <c r="I87" i="30"/>
  <c r="I88" i="30" a="1"/>
  <c r="I88" i="30"/>
  <c r="I89" i="30" a="1"/>
  <c r="I89" i="30"/>
  <c r="I90" i="30" a="1"/>
  <c r="I90" i="30"/>
  <c r="I91" i="30" a="1"/>
  <c r="I91" i="30"/>
  <c r="I92" i="30" a="1"/>
  <c r="I92" i="30"/>
  <c r="I93" i="30" a="1"/>
  <c r="I93" i="30"/>
  <c r="I94" i="30" a="1"/>
  <c r="I94" i="30"/>
  <c r="I95" i="30" a="1"/>
  <c r="I95" i="30"/>
  <c r="I96" i="30" a="1"/>
  <c r="I96" i="30"/>
  <c r="I97" i="30" a="1"/>
  <c r="I97" i="30"/>
  <c r="I98" i="30" a="1"/>
  <c r="I98" i="30"/>
  <c r="I99" i="30" a="1"/>
  <c r="I99" i="30"/>
  <c r="I100" i="30" a="1"/>
  <c r="I100" i="30"/>
  <c r="I101" i="30" a="1"/>
  <c r="I101" i="30"/>
  <c r="I102" i="30" a="1"/>
  <c r="I102" i="30"/>
  <c r="I103" i="30" a="1"/>
  <c r="I103" i="30"/>
  <c r="I104" i="30" a="1"/>
  <c r="I104" i="30"/>
  <c r="I105" i="30" a="1"/>
  <c r="I105" i="30"/>
  <c r="I106" i="30" a="1"/>
  <c r="I106" i="30"/>
  <c r="I107" i="30" a="1"/>
  <c r="I107" i="30"/>
  <c r="I108" i="30" a="1"/>
  <c r="I108" i="30"/>
  <c r="I109" i="30" a="1"/>
  <c r="I109" i="30"/>
  <c r="I110" i="30" a="1"/>
  <c r="I110" i="30"/>
  <c r="I111" i="30" a="1"/>
  <c r="I111" i="30"/>
  <c r="I112" i="30" a="1"/>
  <c r="I112" i="30"/>
  <c r="I113" i="30" a="1"/>
  <c r="I113" i="30"/>
  <c r="I114" i="30" a="1"/>
  <c r="I114" i="30"/>
  <c r="I115" i="30" a="1"/>
  <c r="I115" i="30"/>
  <c r="I116" i="30" a="1"/>
  <c r="I116" i="30"/>
  <c r="I117" i="30" a="1"/>
  <c r="I117" i="30"/>
  <c r="I118" i="30" a="1"/>
  <c r="I118" i="30"/>
  <c r="I119" i="30" a="1"/>
  <c r="I119" i="30"/>
  <c r="I120" i="30" a="1"/>
  <c r="I120" i="30"/>
  <c r="I121" i="30" a="1"/>
  <c r="I121" i="30"/>
  <c r="I122" i="30" a="1"/>
  <c r="I122" i="30"/>
  <c r="I123" i="30" a="1"/>
  <c r="I123" i="30"/>
  <c r="I124" i="30" a="1"/>
  <c r="I124" i="30"/>
  <c r="I125" i="30" a="1"/>
  <c r="I125" i="30"/>
  <c r="I126" i="30" a="1"/>
  <c r="I126" i="30"/>
  <c r="I127" i="30" a="1"/>
  <c r="I127" i="30"/>
  <c r="I128" i="30" a="1"/>
  <c r="I128" i="30"/>
  <c r="I129" i="30" a="1"/>
  <c r="I129" i="30"/>
  <c r="I130" i="30" a="1"/>
  <c r="I130" i="30"/>
  <c r="I131" i="30" a="1"/>
  <c r="I131" i="30"/>
  <c r="I132" i="30" a="1"/>
  <c r="I132" i="30"/>
  <c r="I133" i="30" a="1"/>
  <c r="I133" i="30"/>
  <c r="I134" i="30" a="1"/>
  <c r="I134" i="30"/>
  <c r="I135" i="30" a="1"/>
  <c r="I135" i="30"/>
  <c r="I136" i="30" a="1"/>
  <c r="I136" i="30"/>
  <c r="I137" i="30" a="1"/>
  <c r="I137" i="30"/>
  <c r="I138" i="30" a="1"/>
  <c r="I138" i="30"/>
  <c r="I139" i="30" a="1"/>
  <c r="I139" i="30"/>
  <c r="I140" i="30" a="1"/>
  <c r="I140" i="30"/>
  <c r="I141" i="30" a="1"/>
  <c r="I141" i="30"/>
  <c r="I142" i="30" a="1"/>
  <c r="I142" i="30"/>
  <c r="I143" i="30" a="1"/>
  <c r="I143" i="30"/>
  <c r="I144" i="30" a="1"/>
  <c r="I144" i="30"/>
  <c r="I145" i="30" a="1"/>
  <c r="I145" i="30"/>
  <c r="I146" i="30" a="1"/>
  <c r="I146" i="30"/>
  <c r="I147" i="30" a="1"/>
  <c r="I147" i="30"/>
  <c r="I148" i="30" a="1"/>
  <c r="I148" i="30"/>
  <c r="I149" i="30" a="1"/>
  <c r="I149" i="30"/>
  <c r="I150" i="30" a="1"/>
  <c r="I150" i="30"/>
  <c r="I151" i="30" a="1"/>
  <c r="I151" i="30"/>
  <c r="B2" i="72"/>
  <c r="A2" i="72"/>
  <c r="I2" i="72" a="1"/>
  <c r="I2" i="72"/>
  <c r="A2" i="70"/>
  <c r="A11" i="88" a="1"/>
  <c r="B10" i="88"/>
  <c r="A9" i="88"/>
  <c r="C10" i="88"/>
  <c r="A10" i="88"/>
  <c r="C7" i="88"/>
  <c r="B7" i="88"/>
  <c r="B6" i="88"/>
  <c r="A7" i="88"/>
  <c r="A6" i="88"/>
  <c r="A3" i="88"/>
  <c r="A2" i="88"/>
  <c r="A1" i="88"/>
  <c r="F7" i="86"/>
  <c r="F6" i="86"/>
  <c r="F5" i="86"/>
  <c r="F4" i="86"/>
  <c r="C2" i="86"/>
  <c r="A2" i="91" a="1"/>
  <c r="A2" i="91"/>
  <c r="F1" i="91"/>
  <c r="E1" i="91"/>
  <c r="D1" i="91"/>
  <c r="B1" i="91"/>
  <c r="E3" i="83"/>
  <c r="E4" i="83"/>
  <c r="E5" i="83"/>
  <c r="E6" i="83"/>
  <c r="E7" i="83"/>
  <c r="E8" i="83"/>
  <c r="E9" i="83"/>
  <c r="E10" i="83"/>
  <c r="E11" i="83"/>
  <c r="E2" i="83"/>
  <c r="E1" i="83"/>
  <c r="F2" i="91" a="1"/>
  <c r="F2" i="91"/>
  <c r="E2" i="91" a="1"/>
  <c r="E2" i="91"/>
  <c r="D2" i="91" a="1"/>
  <c r="D2" i="91"/>
  <c r="B2" i="91" a="1"/>
  <c r="B2" i="91"/>
  <c r="C19" i="85"/>
  <c r="C18" i="85"/>
  <c r="C17" i="85"/>
  <c r="C15" i="85"/>
  <c r="C14" i="85"/>
  <c r="C13" i="85"/>
  <c r="C11" i="85"/>
  <c r="C10" i="85"/>
  <c r="C9" i="85"/>
  <c r="C8" i="85"/>
  <c r="C7" i="85"/>
  <c r="C6" i="85"/>
  <c r="C4" i="85"/>
  <c r="C3" i="85"/>
  <c r="C2" i="85"/>
  <c r="C1" i="85"/>
  <c r="A17" i="85"/>
  <c r="B19" i="85"/>
  <c r="B18" i="85"/>
  <c r="B17" i="85"/>
  <c r="A13" i="85"/>
  <c r="B15" i="85"/>
  <c r="B14" i="85"/>
  <c r="B13" i="85"/>
  <c r="A6" i="85"/>
  <c r="B11" i="85"/>
  <c r="B10" i="85"/>
  <c r="B9" i="85"/>
  <c r="B1" i="85"/>
  <c r="B8" i="85"/>
  <c r="B7" i="85"/>
  <c r="B6" i="85"/>
  <c r="B4" i="85"/>
  <c r="B3" i="85"/>
  <c r="B2" i="85"/>
  <c r="A1" i="85"/>
  <c r="D7" i="26"/>
  <c r="A1" i="83"/>
  <c r="B1" i="83"/>
  <c r="C1" i="83"/>
  <c r="D1" i="83"/>
  <c r="F1" i="83"/>
  <c r="D14" i="79"/>
  <c r="C14" i="79"/>
  <c r="D17" i="79"/>
  <c r="C17" i="79"/>
  <c r="D18" i="79"/>
  <c r="C18" i="79"/>
  <c r="D16" i="79"/>
  <c r="C16" i="79"/>
  <c r="D19" i="79"/>
  <c r="C20" i="79"/>
  <c r="D20" i="79"/>
  <c r="C21" i="79"/>
  <c r="D21" i="79"/>
  <c r="D22" i="79"/>
  <c r="D23" i="79"/>
  <c r="C24" i="79"/>
  <c r="D24" i="79"/>
  <c r="C25" i="79"/>
  <c r="D25" i="79"/>
  <c r="C26" i="79"/>
  <c r="D26" i="79"/>
  <c r="C27" i="79"/>
  <c r="D27" i="79"/>
  <c r="C5" i="79"/>
  <c r="D5" i="79"/>
  <c r="C7" i="79"/>
  <c r="D7" i="79"/>
  <c r="C8" i="79"/>
  <c r="D8" i="79"/>
  <c r="C9" i="79"/>
  <c r="D9" i="79"/>
  <c r="C10" i="79"/>
  <c r="D10" i="79"/>
  <c r="C13" i="79"/>
  <c r="D13" i="79"/>
  <c r="C15" i="79"/>
  <c r="D15" i="79"/>
  <c r="D4" i="79"/>
  <c r="C4" i="79"/>
  <c r="D3" i="79"/>
  <c r="C3" i="79"/>
  <c r="D2" i="79"/>
  <c r="C2" i="79"/>
  <c r="B29" i="26"/>
  <c r="B25" i="26"/>
  <c r="D2" i="26"/>
  <c r="B2" i="26"/>
  <c r="B1" i="26"/>
  <c r="B28" i="26"/>
  <c r="B27" i="26"/>
  <c r="D26" i="26"/>
  <c r="B26" i="26"/>
  <c r="D25" i="26"/>
  <c r="B24" i="26"/>
  <c r="B23" i="26"/>
  <c r="D22" i="26"/>
  <c r="B22" i="26"/>
  <c r="D21" i="26"/>
  <c r="B21" i="26"/>
  <c r="B20" i="26"/>
  <c r="B19" i="26"/>
  <c r="B18" i="26"/>
  <c r="B17" i="26"/>
  <c r="D16" i="26"/>
  <c r="B16" i="26"/>
  <c r="D15" i="26"/>
  <c r="B15" i="26"/>
  <c r="D14" i="26"/>
  <c r="B14" i="26"/>
  <c r="B13" i="26"/>
  <c r="B12" i="26"/>
  <c r="B11" i="26"/>
  <c r="B10" i="26"/>
  <c r="D9" i="26"/>
  <c r="B9" i="26"/>
  <c r="B8" i="26"/>
  <c r="B7" i="26"/>
  <c r="B6" i="26"/>
  <c r="B5" i="26"/>
  <c r="B4" i="26"/>
  <c r="E2" i="26"/>
  <c r="F137" i="72" a="1"/>
  <c r="F126" i="72" a="1"/>
  <c r="F21" i="72" a="1"/>
  <c r="F27" i="72" a="1"/>
  <c r="F5" i="72" a="1"/>
  <c r="F77" i="72" a="1"/>
  <c r="F149" i="72" a="1"/>
  <c r="F138" i="72" a="1"/>
  <c r="F146" i="72" a="1"/>
  <c r="F111" i="72" a="1"/>
  <c r="F116" i="72" a="1"/>
  <c r="F29" i="72" a="1"/>
  <c r="F140" i="72" a="1"/>
  <c r="F135" i="72" a="1"/>
  <c r="F124" i="72" a="1"/>
  <c r="F12" i="72" a="1"/>
  <c r="F4" i="72" a="1"/>
  <c r="F33" i="72" a="1"/>
  <c r="F11" i="72" a="1"/>
  <c r="F6" i="72" a="1"/>
  <c r="F121" i="72" a="1"/>
  <c r="F120" i="72" a="1"/>
  <c r="F113" i="72" a="1"/>
  <c r="F114" i="72" a="1"/>
  <c r="F10" i="72" a="1"/>
  <c r="F39" i="72" a="1"/>
  <c r="F28" i="72" a="1"/>
  <c r="F115" i="72" a="1"/>
  <c r="F133" i="72" a="1"/>
  <c r="F139" i="72" a="1"/>
  <c r="F8" i="72" a="1"/>
  <c r="F141" i="72" a="1"/>
  <c r="F9" i="72" a="1"/>
  <c r="F59" i="72" a="1"/>
  <c r="F73" i="72" a="1"/>
  <c r="F143" i="72" a="1"/>
  <c r="F45" i="72" a="1"/>
  <c r="F117" i="72" a="1"/>
  <c r="F30" i="72" a="1"/>
  <c r="F127" i="72" a="1"/>
  <c r="F128" i="72" a="1"/>
  <c r="F132" i="72" a="1"/>
  <c r="F145" i="72" a="1"/>
  <c r="F74" i="72" a="1"/>
  <c r="F123" i="72" a="1"/>
  <c r="F112" i="72" a="1"/>
  <c r="F42" i="72" a="1"/>
  <c r="F144" i="72" a="1"/>
  <c r="F19" i="72" a="1"/>
  <c r="F58" i="72" a="1"/>
  <c r="F119" i="72" a="1"/>
  <c r="F31" i="72" a="1"/>
  <c r="F37" i="72" a="1"/>
  <c r="F57" i="72" a="1"/>
  <c r="F129" i="72" a="1"/>
  <c r="F118" i="72" a="1"/>
  <c r="F7" i="72" a="1"/>
  <c r="F13" i="72" a="1"/>
  <c r="F41" i="72" a="1"/>
  <c r="F122" i="72" a="1"/>
  <c r="F32" i="72" a="1"/>
  <c r="F130" i="72" a="1"/>
  <c r="F78" i="72" a="1"/>
  <c r="F142" i="72" a="1"/>
  <c r="F60" i="72" a="1"/>
  <c r="F76" i="72" a="1"/>
  <c r="F38" i="72" a="1"/>
  <c r="F79" i="72" a="1"/>
  <c r="F3" i="72" a="1"/>
  <c r="F75" i="72" a="1"/>
  <c r="F147" i="72" a="1"/>
  <c r="F136" i="72" a="1"/>
  <c r="F125" i="72" a="1"/>
  <c r="F134" i="72" a="1"/>
  <c r="F131" i="72" a="1"/>
  <c r="F26" i="72" a="1"/>
  <c r="F148" i="72" a="1"/>
  <c r="A11" i="88"/>
  <c r="I12" i="86"/>
  <c r="J23" i="72"/>
  <c r="J22" i="72"/>
  <c r="J42" i="72"/>
  <c r="J36" i="72"/>
  <c r="J30" i="72"/>
  <c r="C23" i="79"/>
  <c r="J35" i="72"/>
  <c r="J40" i="72"/>
  <c r="C19" i="79"/>
  <c r="J21" i="72"/>
  <c r="J38" i="72"/>
  <c r="J32" i="72"/>
  <c r="J26" i="72"/>
  <c r="J20" i="72"/>
  <c r="J29" i="72"/>
  <c r="J28" i="72"/>
  <c r="J34" i="72"/>
  <c r="J27" i="72"/>
  <c r="J37" i="72"/>
  <c r="J31" i="72"/>
  <c r="J19" i="72"/>
  <c r="J18" i="72"/>
  <c r="J17" i="72"/>
  <c r="J11" i="72"/>
  <c r="J5" i="72"/>
  <c r="J12" i="72"/>
  <c r="J16" i="72"/>
  <c r="J10" i="72"/>
  <c r="J8" i="72"/>
  <c r="J13" i="72"/>
  <c r="J6" i="72"/>
  <c r="J14" i="72"/>
  <c r="J15" i="72"/>
  <c r="J9" i="72"/>
  <c r="J3" i="72"/>
  <c r="J2" i="72"/>
  <c r="F74" i="72"/>
  <c r="F146" i="72"/>
  <c r="F38" i="72"/>
  <c r="F26" i="72"/>
  <c r="F134" i="72"/>
  <c r="F122" i="72"/>
  <c r="F145" i="72"/>
  <c r="F133" i="72"/>
  <c r="F121" i="72"/>
  <c r="F73" i="72"/>
  <c r="F37" i="72"/>
  <c r="F13" i="72"/>
  <c r="F144" i="72"/>
  <c r="F132" i="72"/>
  <c r="F120" i="72"/>
  <c r="F60" i="72"/>
  <c r="F12" i="72"/>
  <c r="F140" i="72"/>
  <c r="F128" i="72"/>
  <c r="F116" i="72"/>
  <c r="F32" i="72"/>
  <c r="F8" i="72"/>
  <c r="F139" i="72"/>
  <c r="F127" i="72"/>
  <c r="F115" i="72"/>
  <c r="F79" i="72"/>
  <c r="F31" i="72"/>
  <c r="F19" i="72"/>
  <c r="F7" i="72"/>
  <c r="F138" i="72"/>
  <c r="F126" i="72"/>
  <c r="F114" i="72"/>
  <c r="F78" i="72"/>
  <c r="F42" i="72"/>
  <c r="F30" i="72"/>
  <c r="F6" i="72"/>
  <c r="F149" i="72"/>
  <c r="F143" i="72"/>
  <c r="F137" i="72"/>
  <c r="F131" i="72"/>
  <c r="F125" i="72"/>
  <c r="F119" i="72"/>
  <c r="F113" i="72"/>
  <c r="F77" i="72"/>
  <c r="F59" i="72"/>
  <c r="F41" i="72"/>
  <c r="F29" i="72"/>
  <c r="F11" i="72"/>
  <c r="F5" i="72"/>
  <c r="F148" i="72"/>
  <c r="F142" i="72"/>
  <c r="F136" i="72"/>
  <c r="F130" i="72"/>
  <c r="F124" i="72"/>
  <c r="F118" i="72"/>
  <c r="F112" i="72"/>
  <c r="F76" i="72"/>
  <c r="F58" i="72"/>
  <c r="F28" i="72"/>
  <c r="F10" i="72"/>
  <c r="F4" i="72"/>
  <c r="F147" i="72"/>
  <c r="F141" i="72"/>
  <c r="F135" i="72"/>
  <c r="F129" i="72"/>
  <c r="F123" i="72"/>
  <c r="F117" i="72"/>
  <c r="F111" i="72"/>
  <c r="F75" i="72"/>
  <c r="F57" i="72"/>
  <c r="F45" i="72"/>
  <c r="F39" i="72"/>
  <c r="F33" i="72"/>
  <c r="F27" i="72"/>
  <c r="F21" i="72"/>
  <c r="F9" i="72"/>
  <c r="F3" i="72"/>
  <c r="C2" i="83"/>
  <c r="B8" i="88"/>
  <c r="G5" i="86"/>
  <c r="D26" i="72" a="1"/>
  <c r="S144" i="30"/>
  <c r="L28" i="30" a="1"/>
  <c r="J45" i="30" a="1"/>
  <c r="K104" i="72" a="1"/>
  <c r="K93" i="30" a="1"/>
  <c r="D49" i="72" a="1"/>
  <c r="K127" i="30" a="1"/>
  <c r="K142" i="72" a="1"/>
  <c r="E77" i="72" a="1"/>
  <c r="K143" i="72" a="1"/>
  <c r="J5" i="30" a="1"/>
  <c r="Q11" i="30"/>
  <c r="C142" i="72" a="1"/>
  <c r="S128" i="30"/>
  <c r="J40" i="30" a="1"/>
  <c r="C57" i="30" a="1"/>
  <c r="D108" i="72" a="1"/>
  <c r="S49" i="30"/>
  <c r="E126" i="72" a="1"/>
  <c r="B18" i="90" a="1"/>
  <c r="L99" i="30" a="1"/>
  <c r="C133" i="72" a="1"/>
  <c r="K97" i="72" a="1"/>
  <c r="C3" i="72" a="1"/>
  <c r="K90" i="72" a="1"/>
  <c r="K12" i="72" a="1"/>
  <c r="Q114" i="30"/>
  <c r="E81" i="72" a="1"/>
  <c r="D103" i="72" a="1"/>
  <c r="D126" i="72" a="1"/>
  <c r="D63" i="30" a="1"/>
  <c r="D4" i="72" a="1"/>
  <c r="Q77" i="30"/>
  <c r="B13" i="70" a="1"/>
  <c r="D17" i="72" a="1"/>
  <c r="K92" i="72" a="1"/>
  <c r="E97" i="72" a="1"/>
  <c r="C36" i="30" a="1"/>
  <c r="S137" i="30"/>
  <c r="S55" i="30"/>
  <c r="J150" i="30" a="1"/>
  <c r="C65" i="30" a="1"/>
  <c r="C61" i="72" a="1"/>
  <c r="D89" i="30" a="1"/>
  <c r="A23" i="90" a="1"/>
  <c r="J120" i="30" a="1"/>
  <c r="C42" i="30" a="1"/>
  <c r="E38" i="72" a="1"/>
  <c r="C50" i="72" a="1"/>
  <c r="K18" i="72" a="1"/>
  <c r="D96" i="72" a="1"/>
  <c r="E150" i="72" a="1"/>
  <c r="E26" i="72" a="1"/>
  <c r="K26" i="30" a="1"/>
  <c r="B23" i="90" a="1"/>
  <c r="L106" i="30" a="1"/>
  <c r="K27" i="72" a="1"/>
  <c r="K118" i="72" a="1"/>
  <c r="C37" i="30" a="1"/>
  <c r="K16" i="72" a="1"/>
  <c r="C54" i="72" a="1"/>
  <c r="D52" i="72" a="1"/>
  <c r="D147" i="30" a="1"/>
  <c r="D81" i="30" a="1"/>
  <c r="K48" i="72" a="1"/>
  <c r="D81" i="72" a="1"/>
  <c r="J106" i="30" a="1"/>
  <c r="L31" i="30" a="1"/>
  <c r="D84" i="30" a="1"/>
  <c r="C149" i="30" a="1"/>
  <c r="B16" i="90" a="1"/>
  <c r="J119" i="30" a="1"/>
  <c r="C46" i="30" a="1"/>
  <c r="S14" i="30"/>
  <c r="D134" i="72" a="1"/>
  <c r="D2" i="72" a="1"/>
  <c r="D38" i="30" a="1"/>
  <c r="C41" i="30" a="1"/>
  <c r="C94" i="72" a="1"/>
  <c r="D3" i="72" a="1"/>
  <c r="D72" i="30" a="1"/>
  <c r="C31" i="30" a="1"/>
  <c r="C91" i="72" a="1"/>
  <c r="Q31" i="30"/>
  <c r="E91" i="72" a="1"/>
  <c r="S52" i="30"/>
  <c r="L119" i="30" a="1"/>
  <c r="K148" i="72" a="1"/>
  <c r="C52" i="72" a="1"/>
  <c r="K98" i="72" a="1"/>
  <c r="D109" i="30" a="1"/>
  <c r="D123" i="72" a="1"/>
  <c r="D141" i="72" a="1"/>
  <c r="K90" i="30" a="1"/>
  <c r="Q15" i="30"/>
  <c r="J99" i="30" a="1"/>
  <c r="K40" i="72" a="1"/>
  <c r="Q42" i="30"/>
  <c r="B18" i="70" a="1"/>
  <c r="C104" i="30" a="1"/>
  <c r="D5" i="30" a="1"/>
  <c r="L8" i="30" a="1"/>
  <c r="J26" i="30" a="1"/>
  <c r="K153" i="72" a="1"/>
  <c r="C69" i="72" a="1"/>
  <c r="L19" i="30" a="1"/>
  <c r="D59" i="30" a="1"/>
  <c r="D9" i="72" a="1"/>
  <c r="K32" i="30" a="1"/>
  <c r="D60" i="72" a="1"/>
  <c r="C66" i="30" a="1"/>
  <c r="L36" i="30" a="1"/>
  <c r="D61" i="30" a="1"/>
  <c r="Q13" i="30"/>
  <c r="L116" i="30" a="1"/>
  <c r="Q44" i="30"/>
  <c r="D143" i="72" a="1"/>
  <c r="S106" i="30"/>
  <c r="J57" i="30" a="1"/>
  <c r="K131" i="30" a="1"/>
  <c r="C34" i="72" a="1"/>
  <c r="C25" i="72" a="1"/>
  <c r="Q142" i="30"/>
  <c r="D119" i="30" a="1"/>
  <c r="D41" i="72" a="1"/>
  <c r="E112" i="72" a="1"/>
  <c r="D13" i="72" a="1"/>
  <c r="Q76" i="30"/>
  <c r="S148" i="30"/>
  <c r="C45" i="30" a="1"/>
  <c r="C106" i="30" a="1"/>
  <c r="D145" i="30" a="1"/>
  <c r="D61" i="72" a="1"/>
  <c r="K105" i="72" a="1"/>
  <c r="K52" i="30" a="1"/>
  <c r="K112" i="30" a="1"/>
  <c r="E43" i="72" a="1"/>
  <c r="K99" i="72" a="1"/>
  <c r="C68" i="72" a="1"/>
  <c r="Q113" i="30"/>
  <c r="C133" i="30" a="1"/>
  <c r="J97" i="30" a="1"/>
  <c r="K114" i="30" a="1"/>
  <c r="S99" i="30"/>
  <c r="D45" i="72" a="1"/>
  <c r="C73" i="30" a="1"/>
  <c r="K87" i="72" a="1"/>
  <c r="C8" i="30" a="1"/>
  <c r="K49" i="30" a="1"/>
  <c r="D151" i="30" a="1"/>
  <c r="E13" i="72" a="1"/>
  <c r="D149" i="72" a="1"/>
  <c r="Q122" i="30"/>
  <c r="D11" i="72" a="1"/>
  <c r="L13" i="30" a="1"/>
  <c r="J146" i="30" a="1"/>
  <c r="J39" i="30" a="1"/>
  <c r="K109" i="72" a="1"/>
  <c r="L41" i="30" a="1"/>
  <c r="A11" i="90" a="1"/>
  <c r="C59" i="72" a="1"/>
  <c r="E32" i="72" a="1"/>
  <c r="K45" i="30" a="1"/>
  <c r="K25" i="30" a="1"/>
  <c r="D71" i="72" a="1"/>
  <c r="C116" i="72" a="1"/>
  <c r="D13" i="30" a="1"/>
  <c r="J110" i="30" a="1"/>
  <c r="Q53" i="30"/>
  <c r="D68" i="30" a="1"/>
  <c r="C27" i="30" a="1"/>
  <c r="K50" i="72" a="1"/>
  <c r="Q55" i="30"/>
  <c r="S77" i="30"/>
  <c r="J22" i="30" a="1"/>
  <c r="K30" i="30" a="1"/>
  <c r="J9" i="30" a="1"/>
  <c r="E105" i="72" a="1"/>
  <c r="C68" i="30" a="1"/>
  <c r="K9" i="30" a="1"/>
  <c r="S87" i="30"/>
  <c r="E129" i="72" a="1"/>
  <c r="S104" i="30"/>
  <c r="C121" i="30" a="1"/>
  <c r="C72" i="72" a="1"/>
  <c r="D144" i="30" a="1"/>
  <c r="K116" i="72" a="1"/>
  <c r="D24" i="30" a="1"/>
  <c r="K55" i="30" a="1"/>
  <c r="K138" i="30" a="1"/>
  <c r="A4" i="90" a="1"/>
  <c r="J94" i="30" a="1"/>
  <c r="D151" i="72" a="1"/>
  <c r="Q83" i="30"/>
  <c r="K124" i="30" a="1"/>
  <c r="E137" i="72" a="1"/>
  <c r="C120" i="30" a="1"/>
  <c r="D129" i="30" a="1"/>
  <c r="C88" i="30" a="1"/>
  <c r="S132" i="30"/>
  <c r="K148" i="30" a="1"/>
  <c r="S110" i="30"/>
  <c r="E125" i="72" a="1"/>
  <c r="C123" i="30" a="1"/>
  <c r="K118" i="30" a="1"/>
  <c r="S80" i="30"/>
  <c r="C132" i="30" a="1"/>
  <c r="Q123" i="30"/>
  <c r="D12" i="30" a="1"/>
  <c r="C88" i="72" a="1"/>
  <c r="D43" i="30" a="1"/>
  <c r="L11" i="30" a="1"/>
  <c r="C20" i="72" a="1"/>
  <c r="D27" i="30" a="1"/>
  <c r="C48" i="30" a="1"/>
  <c r="S135" i="30"/>
  <c r="J56" i="30" a="1"/>
  <c r="C21" i="72" a="1"/>
  <c r="S92" i="30"/>
  <c r="D42" i="72" a="1"/>
  <c r="K72" i="30" a="1"/>
  <c r="E63" i="72" a="1"/>
  <c r="C35" i="30" a="1"/>
  <c r="Q56" i="30"/>
  <c r="E121" i="72" a="1"/>
  <c r="L142" i="30" a="1"/>
  <c r="A21" i="90" a="1"/>
  <c r="C139" i="72" a="1"/>
  <c r="D93" i="72" a="1"/>
  <c r="L84" i="30" a="1"/>
  <c r="K17" i="30" a="1"/>
  <c r="K49" i="72" a="1"/>
  <c r="Q127" i="30"/>
  <c r="K149" i="72" a="1"/>
  <c r="D103" i="30" a="1"/>
  <c r="K145" i="72" a="1"/>
  <c r="J87" i="30" a="1"/>
  <c r="S143" i="30"/>
  <c r="L83" i="30" a="1"/>
  <c r="D148" i="72" a="1"/>
  <c r="K146" i="72" a="1"/>
  <c r="Q139" i="30"/>
  <c r="D105" i="72" a="1"/>
  <c r="K53" i="72" a="1"/>
  <c r="D105" i="30" a="1"/>
  <c r="D112" i="72" a="1"/>
  <c r="S25" i="30"/>
  <c r="C7" i="72" a="1"/>
  <c r="K116" i="30" a="1"/>
  <c r="Q82" i="30"/>
  <c r="E39" i="72" a="1"/>
  <c r="J17" i="30" a="1"/>
  <c r="K147" i="30" a="1"/>
  <c r="K144" i="72" a="1"/>
  <c r="C10" i="72" a="1"/>
  <c r="D53" i="30" a="1"/>
  <c r="E45" i="72" a="1"/>
  <c r="S147" i="30"/>
  <c r="C4" i="30" a="1"/>
  <c r="D68" i="72" a="1"/>
  <c r="K141" i="30" a="1"/>
  <c r="J85" i="30" a="1"/>
  <c r="C34" i="30" a="1"/>
  <c r="K73" i="30" a="1"/>
  <c r="K99" i="30" a="1"/>
  <c r="S121" i="30"/>
  <c r="C98" i="72" a="1"/>
  <c r="E144" i="72" a="1"/>
  <c r="C105" i="30" a="1"/>
  <c r="K106" i="72" a="1"/>
  <c r="C38" i="72" a="1"/>
  <c r="E75" i="72" a="1"/>
  <c r="S94" i="30"/>
  <c r="C31" i="72" a="1"/>
  <c r="S112" i="30"/>
  <c r="K10" i="30" a="1"/>
  <c r="Q126" i="30"/>
  <c r="K120" i="30" a="1"/>
  <c r="S116" i="30"/>
  <c r="S124" i="30"/>
  <c r="C151" i="30" a="1"/>
  <c r="S98" i="30"/>
  <c r="K126" i="72" a="1"/>
  <c r="E46" i="72" a="1"/>
  <c r="L122" i="30" a="1"/>
  <c r="Q85" i="30"/>
  <c r="E145" i="72" a="1"/>
  <c r="Q98" i="30"/>
  <c r="Q147" i="30"/>
  <c r="D17" i="30" a="1"/>
  <c r="D126" i="30" a="1"/>
  <c r="D137" i="72" a="1"/>
  <c r="D133" i="72" a="1"/>
  <c r="J117" i="30" a="1"/>
  <c r="D8" i="72" a="1"/>
  <c r="E93" i="72" a="1"/>
  <c r="C134" i="72" a="1"/>
  <c r="D67" i="30" a="1"/>
  <c r="C28" i="72" a="1"/>
  <c r="E48" i="72" a="1"/>
  <c r="B7" i="70" a="1"/>
  <c r="C6" i="30" a="1"/>
  <c r="S82" i="30"/>
  <c r="K66" i="30" a="1"/>
  <c r="C112" i="30" a="1"/>
  <c r="L144" i="30" a="1"/>
  <c r="K26" i="72" a="1"/>
  <c r="D101" i="72" a="1"/>
  <c r="L103" i="30" a="1"/>
  <c r="K151" i="72" a="1"/>
  <c r="K101" i="72" a="1"/>
  <c r="D34" i="72" a="1"/>
  <c r="D136" i="72" a="1"/>
  <c r="J132" i="30" a="1"/>
  <c r="L125" i="30" a="1"/>
  <c r="E22" i="72" a="1"/>
  <c r="K103" i="72" a="1"/>
  <c r="D91" i="30" a="1"/>
  <c r="D153" i="72" a="1"/>
  <c r="L131" i="30" a="1"/>
  <c r="J30" i="30" a="1"/>
  <c r="D22" i="72" a="1"/>
  <c r="C64" i="72" a="1"/>
  <c r="D77" i="30" a="1"/>
  <c r="L4" i="30" a="1"/>
  <c r="K22" i="30" a="1"/>
  <c r="C24" i="30" a="1"/>
  <c r="L48" i="30" a="1"/>
  <c r="C115" i="30" a="1"/>
  <c r="J151" i="30" a="1"/>
  <c r="E87" i="72" a="1"/>
  <c r="K75" i="30" a="1"/>
  <c r="C104" i="72" a="1"/>
  <c r="L9" i="30" a="1"/>
  <c r="L26" i="30" a="1"/>
  <c r="D86" i="72" a="1"/>
  <c r="E68" i="72" a="1"/>
  <c r="C150" i="30" a="1"/>
  <c r="C122" i="72" a="1"/>
  <c r="D100" i="72" a="1"/>
  <c r="D54" i="30" a="1"/>
  <c r="E131" i="72" a="1"/>
  <c r="C86" i="30" a="1"/>
  <c r="D5" i="72" a="1"/>
  <c r="S51" i="30"/>
  <c r="S32" i="30"/>
  <c r="C23" i="30" a="1"/>
  <c r="D95" i="72" a="1"/>
  <c r="C51" i="30" a="1"/>
  <c r="Q137" i="30"/>
  <c r="J81" i="30" a="1"/>
  <c r="A10" i="90" a="1"/>
  <c r="K38" i="30" a="1"/>
  <c r="D32" i="30" a="1"/>
  <c r="D38" i="72" a="1"/>
  <c r="C148" i="72" a="1"/>
  <c r="K50" i="30" a="1"/>
  <c r="J88" i="30" a="1"/>
  <c r="K61" i="72" a="1"/>
  <c r="C115" i="72" a="1"/>
  <c r="E83" i="72" a="1"/>
  <c r="D92" i="30" a="1"/>
  <c r="S100" i="30"/>
  <c r="K71" i="72" a="1"/>
  <c r="D150" i="72" a="1"/>
  <c r="Q66" i="30"/>
  <c r="D106" i="72" a="1"/>
  <c r="E80" i="72" a="1"/>
  <c r="K37" i="72" a="1"/>
  <c r="L54" i="30" a="1"/>
  <c r="S117" i="30"/>
  <c r="L135" i="30" a="1"/>
  <c r="D111" i="72" a="1"/>
  <c r="D92" i="72" a="1"/>
  <c r="Q72" i="30"/>
  <c r="C17" i="30" a="1"/>
  <c r="J127" i="30" a="1"/>
  <c r="K123" i="30" a="1"/>
  <c r="Q28" i="30"/>
  <c r="K61" i="30" a="1"/>
  <c r="D43" i="72" a="1"/>
  <c r="K112" i="72" a="1"/>
  <c r="S72" i="30"/>
  <c r="K87" i="30" a="1"/>
  <c r="K137" i="30" a="1"/>
  <c r="S19" i="30"/>
  <c r="K18" i="30" a="1"/>
  <c r="D21" i="72" a="1"/>
  <c r="C75" i="72" a="1"/>
  <c r="J12" i="30" a="1"/>
  <c r="D142" i="72" a="1"/>
  <c r="C7" i="30" a="1"/>
  <c r="D125" i="72" a="1"/>
  <c r="C119" i="30" a="1"/>
  <c r="E55" i="72" a="1"/>
  <c r="D56" i="30" a="1"/>
  <c r="C80" i="72" a="1"/>
  <c r="D30" i="72" a="1"/>
  <c r="D150" i="30" a="1"/>
  <c r="D46" i="30" a="1"/>
  <c r="S39" i="30"/>
  <c r="Q97" i="30"/>
  <c r="D37" i="72" a="1"/>
  <c r="L2" i="30" a="1"/>
  <c r="C109" i="72" a="1"/>
  <c r="J73" i="30" a="1"/>
  <c r="K132" i="30" a="1"/>
  <c r="D47" i="30" a="1"/>
  <c r="K29" i="30" a="1"/>
  <c r="C131" i="72" a="1"/>
  <c r="E37" i="72" a="1"/>
  <c r="Q135" i="30"/>
  <c r="C89" i="30" a="1"/>
  <c r="C143" i="72" a="1"/>
  <c r="K122" i="72" a="1"/>
  <c r="B26" i="90" a="1"/>
  <c r="J65" i="30" a="1"/>
  <c r="E115" i="72" a="1"/>
  <c r="S48" i="30"/>
  <c r="L81" i="30" a="1"/>
  <c r="S27" i="30"/>
  <c r="D10" i="72" a="1"/>
  <c r="J2" i="30" a="1"/>
  <c r="A20" i="90" a="1"/>
  <c r="L21" i="30" a="1"/>
  <c r="E143" i="72" a="1"/>
  <c r="C106" i="72" a="1"/>
  <c r="C95" i="72" a="1"/>
  <c r="J84" i="30" a="1"/>
  <c r="K78" i="30" a="1"/>
  <c r="K21" i="72" a="1"/>
  <c r="Q12" i="30"/>
  <c r="E25" i="72" a="1"/>
  <c r="S10" i="30"/>
  <c r="K117" i="30" a="1"/>
  <c r="L50" i="30" a="1"/>
  <c r="K104" i="30" a="1"/>
  <c r="C144" i="72" a="1"/>
  <c r="D122" i="72" a="1"/>
  <c r="D31" i="30" a="1"/>
  <c r="Q60" i="30"/>
  <c r="C112" i="72" a="1"/>
  <c r="Q151" i="30"/>
  <c r="D114" i="72" a="1"/>
  <c r="Q63" i="30"/>
  <c r="C151" i="72" a="1"/>
  <c r="K36" i="30" a="1"/>
  <c r="C129" i="72" a="1"/>
  <c r="C32" i="72" a="1"/>
  <c r="D34" i="30" a="1"/>
  <c r="C43" i="72" a="1"/>
  <c r="J49" i="30" a="1"/>
  <c r="D25" i="72" a="1"/>
  <c r="Q25" i="30"/>
  <c r="L100" i="30" a="1"/>
  <c r="E78" i="72" a="1"/>
  <c r="E54" i="72" a="1"/>
  <c r="Q27" i="30"/>
  <c r="K147" i="72" a="1"/>
  <c r="E73" i="72" a="1"/>
  <c r="K83" i="30" a="1"/>
  <c r="S34" i="30"/>
  <c r="L133" i="30" a="1"/>
  <c r="E101" i="72" a="1"/>
  <c r="Q58" i="30"/>
  <c r="K131" i="72" a="1"/>
  <c r="C140" i="72" a="1"/>
  <c r="C130" i="72" a="1"/>
  <c r="D154" i="72" a="1"/>
  <c r="D132" i="30" a="1"/>
  <c r="S13" i="30"/>
  <c r="A27" i="90" a="1"/>
  <c r="J113" i="30" a="1"/>
  <c r="J50" i="30" a="1"/>
  <c r="C81" i="72" a="1"/>
  <c r="E20" i="72" a="1"/>
  <c r="E74" i="72" a="1"/>
  <c r="C87" i="72" a="1"/>
  <c r="E139" i="72" a="1"/>
  <c r="C117" i="72" a="1"/>
  <c r="K20" i="30" a="1"/>
  <c r="D14" i="72" a="1"/>
  <c r="D131" i="30" a="1"/>
  <c r="Q111" i="30"/>
  <c r="Q10" i="30"/>
  <c r="D139" i="30" a="1"/>
  <c r="K56" i="72" a="1"/>
  <c r="K140" i="30" a="1"/>
  <c r="J142" i="30" a="1"/>
  <c r="L65" i="30" a="1"/>
  <c r="A19" i="90" a="1"/>
  <c r="E64" i="72" a="1"/>
  <c r="L29" i="30" a="1"/>
  <c r="K59" i="72" a="1"/>
  <c r="S89" i="30"/>
  <c r="L7" i="30" a="1"/>
  <c r="S86" i="30"/>
  <c r="J54" i="30" a="1"/>
  <c r="C15" i="30" a="1"/>
  <c r="S42" i="30"/>
  <c r="Q132" i="30"/>
  <c r="D110" i="72" a="1"/>
  <c r="K5" i="72" a="1"/>
  <c r="E132" i="72" a="1"/>
  <c r="E30" i="72" a="1"/>
  <c r="Q150" i="30"/>
  <c r="C82" i="72" a="1"/>
  <c r="L60" i="30" a="1"/>
  <c r="C4" i="72" a="1"/>
  <c r="C66" i="72" a="1"/>
  <c r="K13" i="72" a="1"/>
  <c r="E149" i="72" a="1"/>
  <c r="J11" i="30" a="1"/>
  <c r="K51" i="30" a="1"/>
  <c r="C137" i="30" a="1"/>
  <c r="D35" i="72" a="1"/>
  <c r="L121" i="30" a="1"/>
  <c r="E141" i="72" a="1"/>
  <c r="C146" i="30" a="1"/>
  <c r="D8" i="30" a="1"/>
  <c r="Q125" i="30"/>
  <c r="D10" i="30" a="1"/>
  <c r="L111" i="30" a="1"/>
  <c r="C47" i="72" a="1"/>
  <c r="C55" i="30" a="1"/>
  <c r="D85" i="72" a="1"/>
  <c r="Q36" i="30"/>
  <c r="E58" i="72" a="1"/>
  <c r="D132" i="72" a="1"/>
  <c r="K122" i="30" a="1"/>
  <c r="Q78" i="30"/>
  <c r="C92" i="72" a="1"/>
  <c r="C149" i="72" a="1"/>
  <c r="E10" i="72" a="1"/>
  <c r="Q64" i="30"/>
  <c r="Q71" i="30"/>
  <c r="E6" i="72" a="1"/>
  <c r="D73" i="72" a="1"/>
  <c r="C85" i="72" a="1"/>
  <c r="K77" i="30" a="1"/>
  <c r="D55" i="30" a="1"/>
  <c r="S79" i="30"/>
  <c r="C60" i="30" a="1"/>
  <c r="C148" i="30" a="1"/>
  <c r="E138" i="72" a="1"/>
  <c r="L118" i="30" a="1"/>
  <c r="L32" i="30" a="1"/>
  <c r="K106" i="30" a="1"/>
  <c r="K6" i="72" a="1"/>
  <c r="C56" i="30" a="1"/>
  <c r="D88" i="30" a="1"/>
  <c r="J72" i="30" a="1"/>
  <c r="A16" i="90" a="1"/>
  <c r="D19" i="72" a="1"/>
  <c r="D106" i="30" a="1"/>
  <c r="C134" i="30" a="1"/>
  <c r="E146" i="72" a="1"/>
  <c r="C30" i="30" a="1"/>
  <c r="D65" i="72" a="1"/>
  <c r="J53" i="30" a="1"/>
  <c r="S93" i="30"/>
  <c r="J121" i="30" a="1"/>
  <c r="K48" i="30" a="1"/>
  <c r="D90" i="30" a="1"/>
  <c r="J52" i="30" a="1"/>
  <c r="C137" i="72" a="1"/>
  <c r="S101" i="30"/>
  <c r="K34" i="72" a="1"/>
  <c r="C150" i="72" a="1"/>
  <c r="C11" i="30" a="1"/>
  <c r="D111" i="30" a="1"/>
  <c r="K80" i="72" a="1"/>
  <c r="C19" i="30" a="1"/>
  <c r="L39" i="30" a="1"/>
  <c r="D120" i="30" a="1"/>
  <c r="L35" i="30" a="1"/>
  <c r="S47" i="30"/>
  <c r="K128" i="72" a="1"/>
  <c r="Q148" i="30"/>
  <c r="B16" i="70" a="1"/>
  <c r="C49" i="72" a="1"/>
  <c r="Q79" i="30"/>
  <c r="K65" i="72" a="1"/>
  <c r="K146" i="30" a="1"/>
  <c r="J115" i="30" a="1"/>
  <c r="Q50" i="30"/>
  <c r="Q32" i="30"/>
  <c r="Q93" i="30"/>
  <c r="C102" i="30" a="1"/>
  <c r="K125" i="72" a="1"/>
  <c r="J66" i="30" a="1"/>
  <c r="K97" i="30" a="1"/>
  <c r="J38" i="30" a="1"/>
  <c r="D58" i="30" a="1"/>
  <c r="S59" i="30"/>
  <c r="E147" i="72" a="1"/>
  <c r="K81" i="72" a="1"/>
  <c r="C119" i="72" a="1"/>
  <c r="D66" i="72" a="1"/>
  <c r="Q65" i="30"/>
  <c r="C107" i="72" a="1"/>
  <c r="K74" i="72" a="1"/>
  <c r="E152" i="72" a="1"/>
  <c r="L23" i="30" a="1"/>
  <c r="S54" i="30"/>
  <c r="S107" i="30"/>
  <c r="K78" i="72" a="1"/>
  <c r="D29" i="30" a="1"/>
  <c r="D84" i="72" a="1"/>
  <c r="E88" i="72" a="1"/>
  <c r="L33" i="30" a="1"/>
  <c r="D116" i="30" a="1"/>
  <c r="C24" i="72" a="1"/>
  <c r="E56" i="72" a="1"/>
  <c r="K92" i="30" a="1"/>
  <c r="L18" i="30" a="1"/>
  <c r="J71" i="30" a="1"/>
  <c r="Q37" i="30"/>
  <c r="Q99" i="30"/>
  <c r="E118" i="72" a="1"/>
  <c r="C64" i="30" a="1"/>
  <c r="L126" i="30" a="1"/>
  <c r="L89" i="30" a="1"/>
  <c r="Q48" i="30"/>
  <c r="K74" i="30" a="1"/>
  <c r="C111" i="72" a="1"/>
  <c r="Q84" i="30"/>
  <c r="J24" i="30" a="1"/>
  <c r="B14" i="70" a="1"/>
  <c r="K17" i="72" a="1"/>
  <c r="C102" i="72" a="1"/>
  <c r="K133" i="30" a="1"/>
  <c r="K98" i="30" a="1"/>
  <c r="D130" i="72" a="1"/>
  <c r="S16" i="30"/>
  <c r="E36" i="72" a="1"/>
  <c r="C71" i="30" a="1"/>
  <c r="C135" i="30" a="1"/>
  <c r="E24" i="72" a="1"/>
  <c r="K58" i="30" a="1"/>
  <c r="J90" i="30" a="1"/>
  <c r="C67" i="72" a="1"/>
  <c r="S12" i="30"/>
  <c r="C101" i="30" a="1"/>
  <c r="D83" i="30" a="1"/>
  <c r="L67" i="30" a="1"/>
  <c r="E12" i="72" a="1"/>
  <c r="B7" i="90" a="1"/>
  <c r="L110" i="30" a="1"/>
  <c r="D118" i="30" a="1"/>
  <c r="Q38" i="30"/>
  <c r="C46" i="72" a="1"/>
  <c r="K62" i="30" a="1"/>
  <c r="J114" i="30" a="1"/>
  <c r="L27" i="30" a="1"/>
  <c r="C113" i="30" a="1"/>
  <c r="S57" i="30"/>
  <c r="D79" i="30" a="1"/>
  <c r="E114" i="72" a="1"/>
  <c r="D70" i="72" a="1"/>
  <c r="K57" i="30" a="1"/>
  <c r="Q39" i="30"/>
  <c r="K150" i="72" a="1"/>
  <c r="S88" i="30"/>
  <c r="J55" i="30" a="1"/>
  <c r="D128" i="72" a="1"/>
  <c r="S33" i="30"/>
  <c r="C76" i="72" a="1"/>
  <c r="S96" i="30"/>
  <c r="S119" i="30"/>
  <c r="K31" i="30" a="1"/>
  <c r="D35" i="30" a="1"/>
  <c r="D28" i="72" a="1"/>
  <c r="C98" i="30" a="1"/>
  <c r="C74" i="72" a="1"/>
  <c r="B13" i="90" a="1"/>
  <c r="E82" i="72" a="1"/>
  <c r="D146" i="72" a="1"/>
  <c r="L114" i="30" a="1"/>
  <c r="K108" i="30" a="1"/>
  <c r="J8" i="30" a="1"/>
  <c r="J138" i="30" a="1"/>
  <c r="E59" i="72" a="1"/>
  <c r="J69" i="30" a="1"/>
  <c r="B21" i="90" a="1"/>
  <c r="Q100" i="30"/>
  <c r="C67" i="30" a="1"/>
  <c r="D120" i="72" a="1"/>
  <c r="D64" i="30" a="1"/>
  <c r="C63" i="30" a="1"/>
  <c r="K138" i="72" a="1"/>
  <c r="S123" i="30"/>
  <c r="K45" i="72" a="1"/>
  <c r="C36" i="72" a="1"/>
  <c r="S53" i="30"/>
  <c r="Q40" i="30"/>
  <c r="Q91" i="30"/>
  <c r="Q70" i="30"/>
  <c r="K47" i="72" a="1"/>
  <c r="D79" i="72" a="1"/>
  <c r="D117" i="72" a="1"/>
  <c r="K31" i="72" a="1"/>
  <c r="E136" i="72" a="1"/>
  <c r="E111" i="72" a="1"/>
  <c r="K32" i="72" a="1"/>
  <c r="D88" i="72" a="1"/>
  <c r="D148" i="30" a="1"/>
  <c r="L25" i="30" a="1"/>
  <c r="B15" i="70" a="1"/>
  <c r="L38" i="30" a="1"/>
  <c r="K108" i="72" a="1"/>
  <c r="K86" i="30" a="1"/>
  <c r="K85" i="30" a="1"/>
  <c r="E17" i="72" a="1"/>
  <c r="C110" i="30" a="1"/>
  <c r="E120" i="72" a="1"/>
  <c r="C97" i="30" a="1"/>
  <c r="K68" i="30" a="1"/>
  <c r="E113" i="72" a="1"/>
  <c r="K63" i="30" a="1"/>
  <c r="D59" i="72" a="1"/>
  <c r="C96" i="72" a="1"/>
  <c r="D93" i="30" a="1"/>
  <c r="D86" i="30" a="1"/>
  <c r="J51" i="30" a="1"/>
  <c r="E21" i="72" a="1"/>
  <c r="C57" i="72" a="1"/>
  <c r="D62" i="72" a="1"/>
  <c r="Q109" i="30"/>
  <c r="C114" i="72" a="1"/>
  <c r="C33" i="30" a="1"/>
  <c r="E47" i="72" a="1"/>
  <c r="J102" i="30" a="1"/>
  <c r="K53" i="30" a="1"/>
  <c r="S129" i="30"/>
  <c r="D65" i="30" a="1"/>
  <c r="K136" i="72" a="1"/>
  <c r="K8" i="30" a="1"/>
  <c r="K30" i="72" a="1"/>
  <c r="B12" i="90" a="1"/>
  <c r="K119" i="72" a="1"/>
  <c r="J60" i="30" a="1"/>
  <c r="S73" i="30"/>
  <c r="J47" i="30" a="1"/>
  <c r="C101" i="72" a="1"/>
  <c r="C129" i="30" a="1"/>
  <c r="D94" i="30" a="1"/>
  <c r="D137" i="30" a="1"/>
  <c r="K24" i="30" a="1"/>
  <c r="J31" i="30" a="1"/>
  <c r="K79" i="72" a="1"/>
  <c r="K11" i="72" a="1"/>
  <c r="K42" i="72" a="1"/>
  <c r="B27" i="90" a="1"/>
  <c r="L51" i="30" a="1"/>
  <c r="C15" i="72" a="1"/>
  <c r="K55" i="72" a="1"/>
  <c r="K8" i="72" a="1"/>
  <c r="E51" i="72" a="1"/>
  <c r="K113" i="72" a="1"/>
  <c r="C126" i="72" a="1"/>
  <c r="A22" i="90" a="1"/>
  <c r="L77" i="30" a="1"/>
  <c r="J74" i="30" a="1"/>
  <c r="K117" i="72" a="1"/>
  <c r="S90" i="30"/>
  <c r="D98" i="30" a="1"/>
  <c r="K19" i="72" a="1"/>
  <c r="E5" i="72" a="1"/>
  <c r="D3" i="30" a="1"/>
  <c r="A9" i="90" a="1"/>
  <c r="L6" i="30" a="1"/>
  <c r="S67" i="30"/>
  <c r="K100" i="30" a="1"/>
  <c r="L16" i="30" a="1"/>
  <c r="K125" i="30" a="1"/>
  <c r="K81" i="30" a="1"/>
  <c r="J104" i="30" a="1"/>
  <c r="K11" i="30" a="1"/>
  <c r="D85" i="30" a="1"/>
  <c r="D54" i="72" a="1"/>
  <c r="D102" i="30" a="1"/>
  <c r="L112" i="30" a="1"/>
  <c r="J107" i="30" a="1"/>
  <c r="K60" i="30" a="1"/>
  <c r="C63" i="72" a="1"/>
  <c r="L96" i="30" a="1"/>
  <c r="K44" i="72" a="1"/>
  <c r="C145" i="30" a="1"/>
  <c r="E41" i="72" a="1"/>
  <c r="A26" i="90" a="1"/>
  <c r="C77" i="30" a="1"/>
  <c r="K51" i="72" a="1"/>
  <c r="J18" i="30" a="1"/>
  <c r="D77" i="72" a="1"/>
  <c r="E4" i="72" a="1"/>
  <c r="L108" i="30" a="1"/>
  <c r="K80" i="30" a="1"/>
  <c r="L78" i="30" a="1"/>
  <c r="B24" i="90" a="1"/>
  <c r="C43" i="30" a="1"/>
  <c r="E52" i="72" a="1"/>
  <c r="Q69" i="30"/>
  <c r="C120" i="72" a="1"/>
  <c r="C69" i="30" a="1"/>
  <c r="K67" i="72" a="1"/>
  <c r="C35" i="72" a="1"/>
  <c r="B10" i="70" a="1"/>
  <c r="A6" i="90" a="1"/>
  <c r="Q59" i="30"/>
  <c r="Q116" i="30"/>
  <c r="S111" i="30"/>
  <c r="E99" i="72" a="1"/>
  <c r="C118" i="72" a="1"/>
  <c r="D124" i="72" a="1"/>
  <c r="C33" i="72" a="1"/>
  <c r="B9" i="70" a="1"/>
  <c r="J145" i="30" a="1"/>
  <c r="D119" i="72" a="1"/>
  <c r="B6" i="70" a="1"/>
  <c r="E66" i="72" a="1"/>
  <c r="C73" i="72" a="1"/>
  <c r="L92" i="30" a="1"/>
  <c r="D20" i="72" a="1"/>
  <c r="D107" i="72" a="1"/>
  <c r="B19" i="70" a="1"/>
  <c r="K91" i="30" a="1"/>
  <c r="Q103" i="30"/>
  <c r="D146" i="30" a="1"/>
  <c r="J116" i="30" a="1"/>
  <c r="J91" i="30" a="1"/>
  <c r="D21" i="30" a="1"/>
  <c r="L59" i="30" a="1"/>
  <c r="L22" i="30" a="1"/>
  <c r="K70" i="72" a="1"/>
  <c r="C141" i="72" a="1"/>
  <c r="A14" i="90" a="1"/>
  <c r="C84" i="30" a="1"/>
  <c r="C105" i="72" a="1"/>
  <c r="B2" i="90" a="1"/>
  <c r="B2" i="70" a="1"/>
  <c r="L115" i="30" a="1"/>
  <c r="L73" i="30" a="1"/>
  <c r="K23" i="72" a="1"/>
  <c r="C139" i="30" a="1"/>
  <c r="D18" i="30" a="1"/>
  <c r="J25" i="30" a="1"/>
  <c r="E135" i="72" a="1"/>
  <c r="Q9" i="30"/>
  <c r="C118" i="30" a="1"/>
  <c r="C18" i="72" a="1"/>
  <c r="L3" i="30" a="1"/>
  <c r="A15" i="90" a="1"/>
  <c r="K140" i="72" a="1"/>
  <c r="S61" i="30"/>
  <c r="D152" i="72" a="1"/>
  <c r="K126" i="30" a="1"/>
  <c r="D37" i="30" a="1"/>
  <c r="K47" i="30" a="1"/>
  <c r="D45" i="30" a="1"/>
  <c r="K95" i="72" a="1"/>
  <c r="C100" i="72" a="1"/>
  <c r="D39" i="30" a="1"/>
  <c r="C19" i="72" a="1"/>
  <c r="D95" i="30" a="1"/>
  <c r="K56" i="30" a="1"/>
  <c r="J148" i="30" a="1"/>
  <c r="C92" i="30" a="1"/>
  <c r="D113" i="30" a="1"/>
  <c r="D116" i="72" a="1"/>
  <c r="L43" i="30" a="1"/>
  <c r="J108" i="30" a="1"/>
  <c r="K143" i="30" a="1"/>
  <c r="K64" i="72" a="1"/>
  <c r="D125" i="30" a="1"/>
  <c r="S35" i="30"/>
  <c r="Q51" i="30"/>
  <c r="S85" i="30"/>
  <c r="B9" i="90" a="1"/>
  <c r="D51" i="72" a="1"/>
  <c r="C91" i="30" a="1"/>
  <c r="C12" i="30" a="1"/>
  <c r="J35" i="30" a="1"/>
  <c r="J131" i="30" a="1"/>
  <c r="S17" i="30"/>
  <c r="C5" i="72" a="1"/>
  <c r="Q67" i="30"/>
  <c r="E57" i="72" a="1"/>
  <c r="C78" i="30" a="1"/>
  <c r="S146" i="30"/>
  <c r="C94" i="30" a="1"/>
  <c r="D138" i="30" a="1"/>
  <c r="D33" i="72" a="1"/>
  <c r="E92" i="72" a="1"/>
  <c r="E142" i="72" a="1"/>
  <c r="J83" i="30" a="1"/>
  <c r="D50" i="72" a="1"/>
  <c r="L82" i="30" a="1"/>
  <c r="D127" i="30" a="1"/>
  <c r="D30" i="30" a="1"/>
  <c r="E23" i="72" a="1"/>
  <c r="K91" i="72" a="1"/>
  <c r="C132" i="72" a="1"/>
  <c r="C125" i="30" a="1"/>
  <c r="C56" i="72" a="1"/>
  <c r="K88" i="30" a="1"/>
  <c r="C80" i="30" a="1"/>
  <c r="K63" i="72" a="1"/>
  <c r="L45" i="30" a="1"/>
  <c r="K9" i="72" a="1"/>
  <c r="B4" i="90" a="1"/>
  <c r="D40" i="72" a="1"/>
  <c r="C23" i="72" a="1"/>
  <c r="L80" i="30" a="1"/>
  <c r="C144" i="30" a="1"/>
  <c r="C38" i="30" a="1"/>
  <c r="C103" i="30" a="1"/>
  <c r="K15" i="30" a="1"/>
  <c r="C82" i="30" a="1"/>
  <c r="J92" i="30" a="1"/>
  <c r="D112" i="30" a="1"/>
  <c r="S76" i="30"/>
  <c r="D6" i="30" a="1"/>
  <c r="D99" i="72" a="1"/>
  <c r="C72" i="30" a="1"/>
  <c r="D32" i="72" a="1"/>
  <c r="C135" i="72" a="1"/>
  <c r="C18" i="30" a="1"/>
  <c r="S126" i="30"/>
  <c r="D28" i="30" a="1"/>
  <c r="C2" i="30" a="1"/>
  <c r="J78" i="30" a="1"/>
  <c r="C138" i="72" a="1"/>
  <c r="J46" i="30" a="1"/>
  <c r="S31" i="30"/>
  <c r="L105" i="30" a="1"/>
  <c r="E116" i="72" a="1"/>
  <c r="D149" i="30" a="1"/>
  <c r="S60" i="30"/>
  <c r="J137" i="30" a="1"/>
  <c r="D4" i="30" a="1"/>
  <c r="S21" i="30"/>
  <c r="C84" i="72" a="1"/>
  <c r="L149" i="30" a="1"/>
  <c r="J123" i="30" a="1"/>
  <c r="S103" i="30"/>
  <c r="Q102" i="30"/>
  <c r="D130" i="30" a="1"/>
  <c r="Q92" i="30"/>
  <c r="S105" i="30"/>
  <c r="J10" i="30" a="1"/>
  <c r="B6" i="90" a="1"/>
  <c r="S62" i="30"/>
  <c r="C128" i="72" a="1"/>
  <c r="C51" i="72" a="1"/>
  <c r="S115" i="30"/>
  <c r="S50" i="30"/>
  <c r="B11" i="70" a="1"/>
  <c r="B12" i="70" a="1"/>
  <c r="E127" i="72" a="1"/>
  <c r="D14" i="30" a="1"/>
  <c r="D63" i="72" a="1"/>
  <c r="C45" i="72" a="1"/>
  <c r="S40" i="30"/>
  <c r="K102" i="30" a="1"/>
  <c r="K12" i="30" a="1"/>
  <c r="D135" i="72" a="1"/>
  <c r="D51" i="30" a="1"/>
  <c r="C8" i="72" a="1"/>
  <c r="L47" i="30" a="1"/>
  <c r="S75" i="30"/>
  <c r="D74" i="72" a="1"/>
  <c r="E134" i="72" a="1"/>
  <c r="D47" i="72" a="1"/>
  <c r="J13" i="30" a="1"/>
  <c r="D94" i="72" a="1"/>
  <c r="C10" i="30" a="1"/>
  <c r="Q35" i="30"/>
  <c r="K110" i="72" a="1"/>
  <c r="K139" i="72" a="1"/>
  <c r="A12" i="90" a="1"/>
  <c r="S26" i="30"/>
  <c r="C55" i="72" a="1"/>
  <c r="E89" i="72" a="1"/>
  <c r="E7" i="72" a="1"/>
  <c r="K93" i="72" a="1"/>
  <c r="E124" i="72" a="1"/>
  <c r="Q96" i="30"/>
  <c r="K152" i="72" a="1"/>
  <c r="L140" i="30" a="1"/>
  <c r="Q62" i="30"/>
  <c r="D131" i="72" a="1"/>
  <c r="S58" i="30"/>
  <c r="E133" i="72" a="1"/>
  <c r="D33" i="30" a="1"/>
  <c r="K84" i="30" a="1"/>
  <c r="J134" i="30" a="1"/>
  <c r="C22" i="72" a="1"/>
  <c r="L56" i="30" a="1"/>
  <c r="C47" i="30" a="1"/>
  <c r="K69" i="72" a="1"/>
  <c r="S45" i="30"/>
  <c r="C97" i="72" a="1"/>
  <c r="B22" i="90" a="1"/>
  <c r="C152" i="72" a="1"/>
  <c r="L150" i="30" a="1"/>
  <c r="C153" i="72" a="1"/>
  <c r="J124" i="30" a="1"/>
  <c r="C89" i="72" a="1"/>
  <c r="K14" i="30" a="1"/>
  <c r="D118" i="72" a="1"/>
  <c r="S56" i="30"/>
  <c r="D18" i="72" a="1"/>
  <c r="S91" i="30"/>
  <c r="L91" i="30" a="1"/>
  <c r="Q128" i="30"/>
  <c r="D66" i="30" a="1"/>
  <c r="E119" i="72" a="1"/>
  <c r="C136" i="30" a="1"/>
  <c r="S97" i="30"/>
  <c r="S18" i="30"/>
  <c r="K94" i="72" a="1"/>
  <c r="E9" i="72" a="1"/>
  <c r="E84" i="72" a="1"/>
  <c r="A25" i="90" a="1"/>
  <c r="L101" i="30" a="1"/>
  <c r="J7" i="30" a="1"/>
  <c r="D74" i="30" a="1"/>
  <c r="Q16" i="30"/>
  <c r="C11" i="72" a="1"/>
  <c r="E61" i="72" a="1"/>
  <c r="L5" i="30" a="1"/>
  <c r="J59" i="30" a="1"/>
  <c r="S64" i="30"/>
  <c r="K36" i="72" a="1"/>
  <c r="J67" i="30" a="1"/>
  <c r="C99" i="30" a="1"/>
  <c r="L86" i="30" a="1"/>
  <c r="E140" i="72" a="1"/>
  <c r="Q136" i="30"/>
  <c r="K7" i="30" a="1"/>
  <c r="K139" i="30" a="1"/>
  <c r="L17" i="30" a="1"/>
  <c r="D72" i="72" a="1"/>
  <c r="S37" i="30"/>
  <c r="C154" i="72" a="1"/>
  <c r="D89" i="72" a="1"/>
  <c r="D102" i="72" a="1"/>
  <c r="E110" i="72" a="1"/>
  <c r="Q20" i="30"/>
  <c r="D11" i="30" a="1"/>
  <c r="A3" i="90" a="1"/>
  <c r="L49" i="30" a="1"/>
  <c r="J41" i="30" a="1"/>
  <c r="C60" i="72" a="1"/>
  <c r="J14" i="30" a="1"/>
  <c r="E122" i="72" a="1"/>
  <c r="K76" i="72" a="1"/>
  <c r="S122" i="30"/>
  <c r="L136" i="30" a="1"/>
  <c r="D75" i="30" a="1"/>
  <c r="C86" i="72" a="1"/>
  <c r="C109" i="30" a="1"/>
  <c r="D117" i="30" a="1"/>
  <c r="B5" i="90" a="1"/>
  <c r="C27" i="72" a="1"/>
  <c r="D136" i="30" a="1"/>
  <c r="D140" i="30" a="1"/>
  <c r="D144" i="72" a="1"/>
  <c r="Q47" i="30"/>
  <c r="K101" i="30" a="1"/>
  <c r="L69" i="30" a="1"/>
  <c r="K68" i="72" a="1"/>
  <c r="C32" i="30" a="1"/>
  <c r="B4" i="70" a="1"/>
  <c r="C124" i="30" a="1"/>
  <c r="E72" i="72" a="1"/>
  <c r="S109" i="30"/>
  <c r="Q124" i="30"/>
  <c r="S134" i="30"/>
  <c r="S23" i="30"/>
  <c r="L151" i="30" a="1"/>
  <c r="J61" i="30" a="1"/>
  <c r="Q94" i="30"/>
  <c r="Q108" i="30"/>
  <c r="C26" i="30" a="1"/>
  <c r="K57" i="72" a="1"/>
  <c r="D52" i="30" a="1"/>
  <c r="C121" i="72" a="1"/>
  <c r="D22" i="30" a="1"/>
  <c r="D40" i="30" a="1"/>
  <c r="L53" i="30" a="1"/>
  <c r="C146" i="72" a="1"/>
  <c r="C37" i="72" a="1"/>
  <c r="J32" i="30" a="1"/>
  <c r="E8" i="72" a="1"/>
  <c r="E108" i="72" a="1"/>
  <c r="K135" i="30" a="1"/>
  <c r="J105" i="30" a="1"/>
  <c r="K82" i="30" a="1"/>
  <c r="K65" i="30" a="1"/>
  <c r="L74" i="30" a="1"/>
  <c r="C103" i="72" a="1"/>
  <c r="C114" i="30" a="1"/>
  <c r="S9" i="30"/>
  <c r="J42" i="30" a="1"/>
  <c r="C78" i="72" a="1"/>
  <c r="E123" i="72" a="1"/>
  <c r="D29" i="72" a="1"/>
  <c r="D57" i="72" a="1"/>
  <c r="D57" i="30" a="1"/>
  <c r="L117" i="30" a="1"/>
  <c r="D20" i="30" a="1"/>
  <c r="J122" i="30" a="1"/>
  <c r="S22" i="30"/>
  <c r="C48" i="72" a="1"/>
  <c r="K144" i="30" a="1"/>
  <c r="Q89" i="30"/>
  <c r="D44" i="30" a="1"/>
  <c r="C49" i="30" a="1"/>
  <c r="D71" i="30" a="1"/>
  <c r="D67" i="72" a="1"/>
  <c r="K89" i="72" a="1"/>
  <c r="C9" i="72" a="1"/>
  <c r="Q52" i="30"/>
  <c r="D2" i="30" a="1"/>
  <c r="K123" i="72" a="1"/>
  <c r="Q87" i="30"/>
  <c r="C59" i="30" a="1"/>
  <c r="K27" i="30" a="1"/>
  <c r="K150" i="30" a="1"/>
  <c r="C53" i="30" a="1"/>
  <c r="K85" i="72" a="1"/>
  <c r="C71" i="72" a="1"/>
  <c r="E95" i="72" a="1"/>
  <c r="E103" i="72" a="1"/>
  <c r="L148" i="30" a="1"/>
  <c r="C74" i="30" a="1"/>
  <c r="C126" i="30" a="1"/>
  <c r="C136" i="72" a="1"/>
  <c r="A7" i="90" a="1"/>
  <c r="D129" i="72" a="1"/>
  <c r="D100" i="30" a="1"/>
  <c r="J125" i="30" a="1"/>
  <c r="Q90" i="30"/>
  <c r="L64" i="30" a="1"/>
  <c r="E60" i="72" a="1"/>
  <c r="C83" i="72" a="1"/>
  <c r="C70" i="30" a="1"/>
  <c r="J140" i="30" a="1"/>
  <c r="D53" i="72" a="1"/>
  <c r="B17" i="90" a="1"/>
  <c r="B3" i="90" a="1"/>
  <c r="S68" i="30"/>
  <c r="E65" i="72" a="1"/>
  <c r="C123" i="72" a="1"/>
  <c r="J43" i="30" a="1"/>
  <c r="C39" i="72" a="1"/>
  <c r="S38" i="30"/>
  <c r="S120" i="30"/>
  <c r="S36" i="30"/>
  <c r="K52" i="72" a="1"/>
  <c r="J58" i="30" a="1"/>
  <c r="Q145" i="30"/>
  <c r="D76" i="72" a="1"/>
  <c r="Q54" i="30"/>
  <c r="J82" i="30" a="1"/>
  <c r="E35" i="72" a="1"/>
  <c r="A17" i="90" a="1"/>
  <c r="B10" i="90" a="1"/>
  <c r="S63" i="30"/>
  <c r="K145" i="30" a="1"/>
  <c r="B25" i="90" a="1"/>
  <c r="L55" i="30" a="1"/>
  <c r="D16" i="72" a="1"/>
  <c r="E50" i="72" a="1"/>
  <c r="K86" i="72" a="1"/>
  <c r="C147" i="72" a="1"/>
  <c r="Q23" i="30"/>
  <c r="C83" i="30" a="1"/>
  <c r="L127" i="30" a="1"/>
  <c r="L66" i="30" a="1"/>
  <c r="S28" i="30"/>
  <c r="S66" i="30"/>
  <c r="J23" i="30" a="1"/>
  <c r="K130" i="30" a="1"/>
  <c r="J141" i="30" a="1"/>
  <c r="K54" i="30" a="1"/>
  <c r="C108" i="30" a="1"/>
  <c r="J98" i="30" a="1"/>
  <c r="E31" i="72" a="1"/>
  <c r="D23" i="30" a="1"/>
  <c r="B20" i="90" a="1"/>
  <c r="S127" i="30"/>
  <c r="C6" i="72" a="1"/>
  <c r="Q81" i="30"/>
  <c r="J96" i="30" a="1"/>
  <c r="K21" i="30" a="1"/>
  <c r="D48" i="72" a="1"/>
  <c r="J149" i="30" a="1"/>
  <c r="E102" i="72" a="1"/>
  <c r="B11" i="90" a="1"/>
  <c r="Q149" i="30"/>
  <c r="C9" i="30" a="1"/>
  <c r="K43" i="72" a="1"/>
  <c r="L79" i="30" a="1"/>
  <c r="K113" i="30" a="1"/>
  <c r="K42" i="30" a="1"/>
  <c r="K121" i="72" a="1"/>
  <c r="E69" i="72" a="1"/>
  <c r="L109" i="30" a="1"/>
  <c r="Q121" i="30"/>
  <c r="S84" i="30"/>
  <c r="J79" i="30" a="1"/>
  <c r="E42" i="72" a="1"/>
  <c r="S24" i="30"/>
  <c r="K2" i="72" a="1"/>
  <c r="L130" i="30" a="1"/>
  <c r="K20" i="72" a="1"/>
  <c r="S29" i="30"/>
  <c r="E19" i="72" a="1"/>
  <c r="Q130" i="30"/>
  <c r="E100" i="72" a="1"/>
  <c r="C87" i="30" a="1"/>
  <c r="J128" i="30" a="1"/>
  <c r="D58" i="72" a="1"/>
  <c r="S102" i="30"/>
  <c r="K15" i="72" a="1"/>
  <c r="C108" i="72" a="1"/>
  <c r="D56" i="72" a="1"/>
  <c r="J37" i="30" a="1"/>
  <c r="D98" i="72" a="1"/>
  <c r="D96" i="30" a="1"/>
  <c r="C12" i="72" a="1"/>
  <c r="S138" i="30"/>
  <c r="L62" i="30" a="1"/>
  <c r="J77" i="30" a="1"/>
  <c r="C30" i="72" a="1"/>
  <c r="K3" i="30" a="1"/>
  <c r="J80" i="30" a="1"/>
  <c r="C138" i="30" a="1"/>
  <c r="K54" i="72" a="1"/>
  <c r="K66" i="72" a="1"/>
  <c r="Q41" i="30"/>
  <c r="K71" i="30" a="1"/>
  <c r="K137" i="72" a="1"/>
  <c r="Q88" i="30"/>
  <c r="J118" i="30" a="1"/>
  <c r="K62" i="72" a="1"/>
  <c r="J34" i="30" a="1"/>
  <c r="B8" i="90" a="1"/>
  <c r="L120" i="30" a="1"/>
  <c r="D134" i="30" a="1"/>
  <c r="K35" i="72" a="1"/>
  <c r="Q141" i="30"/>
  <c r="E70" i="72" a="1"/>
  <c r="J129" i="30" a="1"/>
  <c r="S65" i="30"/>
  <c r="Q118" i="30"/>
  <c r="C70" i="72" a="1"/>
  <c r="C117" i="30" a="1"/>
  <c r="C21" i="30" a="1"/>
  <c r="L15" i="30" a="1"/>
  <c r="Q104" i="30"/>
  <c r="E94" i="72" a="1"/>
  <c r="Q73" i="30"/>
  <c r="D133" i="30" a="1"/>
  <c r="S41" i="30"/>
  <c r="K115" i="72" a="1"/>
  <c r="K82" i="72" a="1"/>
  <c r="D123" i="30" a="1"/>
  <c r="J136" i="30" a="1"/>
  <c r="Q131" i="30"/>
  <c r="E62" i="72" a="1"/>
  <c r="J27" i="30" a="1"/>
  <c r="D16" i="30" a="1"/>
  <c r="C145" i="72" a="1"/>
  <c r="D31" i="72" a="1"/>
  <c r="K149" i="30" a="1"/>
  <c r="K58" i="72" a="1"/>
  <c r="D140" i="72" a="1"/>
  <c r="C16" i="30" a="1"/>
  <c r="L24" i="30" a="1"/>
  <c r="K132" i="72" a="1"/>
  <c r="J100" i="30" a="1"/>
  <c r="K102" i="72" a="1"/>
  <c r="C58" i="30" a="1"/>
  <c r="K41" i="30" a="1"/>
  <c r="K119" i="30" a="1"/>
  <c r="D23" i="72" a="1"/>
  <c r="S20" i="30"/>
  <c r="K114" i="72" a="1"/>
  <c r="E109" i="72" a="1"/>
  <c r="A5" i="90" a="1"/>
  <c r="E117" i="72" a="1"/>
  <c r="L88" i="30" a="1"/>
  <c r="K23" i="30" a="1"/>
  <c r="K135" i="72" a="1"/>
  <c r="Q45" i="30"/>
  <c r="D50" i="30" a="1"/>
  <c r="E104" i="72" a="1"/>
  <c r="K105" i="30" a="1"/>
  <c r="E28" i="72" a="1"/>
  <c r="C39" i="30" a="1"/>
  <c r="J147" i="30" a="1"/>
  <c r="E154" i="72" a="1"/>
  <c r="D49" i="30" a="1"/>
  <c r="D90" i="72" a="1"/>
  <c r="D60" i="30" a="1"/>
  <c r="K134" i="72" a="1"/>
  <c r="K141" i="72" a="1"/>
  <c r="D115" i="72" a="1"/>
  <c r="K13" i="30" a="1"/>
  <c r="C131" i="30" a="1"/>
  <c r="C16" i="72" a="1"/>
  <c r="K151" i="30" a="1"/>
  <c r="Q134" i="30"/>
  <c r="L98" i="30" a="1"/>
  <c r="C26" i="72" a="1"/>
  <c r="C40" i="72" a="1"/>
  <c r="K75" i="72" a="1"/>
  <c r="K77" i="72" a="1"/>
  <c r="C81" i="30" a="1"/>
  <c r="D69" i="30" a="1"/>
  <c r="E44" i="72" a="1"/>
  <c r="C77" i="72" a="1"/>
  <c r="Q34" i="30"/>
  <c r="S114" i="30"/>
  <c r="E71" i="72" a="1"/>
  <c r="S70" i="30"/>
  <c r="D36" i="72" a="1"/>
  <c r="J15" i="30" a="1"/>
  <c r="Q120" i="30"/>
  <c r="K96" i="30" a="1"/>
  <c r="D15" i="30" a="1"/>
  <c r="K60" i="72" a="1"/>
  <c r="C25" i="30" a="1"/>
  <c r="C79" i="72" a="1"/>
  <c r="C90" i="72" a="1"/>
  <c r="J63" i="30" a="1"/>
  <c r="C142" i="30" a="1"/>
  <c r="C40" i="30" a="1"/>
  <c r="C143" i="30" a="1"/>
  <c r="E16" i="72" a="1"/>
  <c r="Q33" i="30"/>
  <c r="D128" i="30" a="1"/>
  <c r="L12" i="30" a="1"/>
  <c r="J95" i="30" a="1"/>
  <c r="Q19" i="30"/>
  <c r="Q22" i="30"/>
  <c r="E11" i="72" a="1"/>
  <c r="Q75" i="30"/>
  <c r="J144" i="30" a="1"/>
  <c r="L139" i="30" a="1"/>
  <c r="Q112" i="30"/>
  <c r="L132" i="30" a="1"/>
  <c r="S46" i="30"/>
  <c r="Q26" i="30"/>
  <c r="E98" i="72" a="1"/>
  <c r="E34" i="72" a="1"/>
  <c r="Q140" i="30"/>
  <c r="J29" i="30" a="1"/>
  <c r="D82" i="30" a="1"/>
  <c r="K79" i="30" a="1"/>
  <c r="S145" i="30"/>
  <c r="E107" i="72" a="1"/>
  <c r="K129" i="30" a="1"/>
  <c r="J62" i="30" a="1"/>
  <c r="L104" i="30" a="1"/>
  <c r="D91" i="72" a="1"/>
  <c r="J16" i="30" a="1"/>
  <c r="S136" i="30"/>
  <c r="K67" i="30" a="1"/>
  <c r="Q57" i="30"/>
  <c r="C116" i="30" a="1"/>
  <c r="D7" i="72" a="1"/>
  <c r="L85" i="30" a="1"/>
  <c r="J143" i="30" a="1"/>
  <c r="E85" i="72" a="1"/>
  <c r="S83" i="30"/>
  <c r="C122" i="30" a="1"/>
  <c r="E18" i="72" a="1"/>
  <c r="D9" i="30" a="1"/>
  <c r="C44" i="30" a="1"/>
  <c r="Q95" i="30"/>
  <c r="D48" i="30" a="1"/>
  <c r="D104" i="72" a="1"/>
  <c r="K124" i="72" a="1"/>
  <c r="D104" i="30" a="1"/>
  <c r="J109" i="30" a="1"/>
  <c r="K154" i="72" a="1"/>
  <c r="C100" i="30" a="1"/>
  <c r="S133" i="30"/>
  <c r="L124" i="30" a="1"/>
  <c r="J103" i="30" a="1"/>
  <c r="S131" i="30"/>
  <c r="B19" i="90" a="1"/>
  <c r="C96" i="30" a="1"/>
  <c r="S141" i="30"/>
  <c r="D64" i="72" a="1"/>
  <c r="S81" i="30"/>
  <c r="J135" i="30" a="1"/>
  <c r="K110" i="30" a="1"/>
  <c r="D80" i="72" a="1"/>
  <c r="C140" i="30" a="1"/>
  <c r="C41" i="72" a="1"/>
  <c r="L143" i="30" a="1"/>
  <c r="D107" i="30" a="1"/>
  <c r="E53" i="72" a="1"/>
  <c r="Q80" i="30"/>
  <c r="J86" i="30" a="1"/>
  <c r="L58" i="30" a="1"/>
  <c r="L70" i="30" a="1"/>
  <c r="C44" i="72" a="1"/>
  <c r="J44" i="30" a="1"/>
  <c r="C127" i="72" a="1"/>
  <c r="K37" i="30" a="1"/>
  <c r="C76" i="30" a="1"/>
  <c r="D24" i="72" a="1"/>
  <c r="D121" i="72" a="1"/>
  <c r="J48" i="30" a="1"/>
  <c r="Q29" i="30"/>
  <c r="K69" i="30" a="1"/>
  <c r="C111" i="30" a="1"/>
  <c r="D80" i="30" a="1"/>
  <c r="S150" i="30"/>
  <c r="C52" i="30" a="1"/>
  <c r="D15" i="72" a="1"/>
  <c r="B17" i="70" a="1"/>
  <c r="C147" i="30" a="1"/>
  <c r="D139" i="72" a="1"/>
  <c r="K95" i="30" a="1"/>
  <c r="Q24" i="30"/>
  <c r="C110" i="72" a="1"/>
  <c r="A18" i="90" a="1"/>
  <c r="Q106" i="30"/>
  <c r="K29" i="72" a="1"/>
  <c r="S69" i="30"/>
  <c r="K10" i="72" a="1"/>
  <c r="K46" i="72" a="1"/>
  <c r="K76" i="30" a="1"/>
  <c r="D25" i="30" a="1"/>
  <c r="S95" i="30"/>
  <c r="Q144" i="30"/>
  <c r="Q61" i="30"/>
  <c r="J6" i="30" a="1"/>
  <c r="C22" i="30" a="1"/>
  <c r="L94" i="30" a="1"/>
  <c r="Q110" i="30"/>
  <c r="L95" i="30" a="1"/>
  <c r="K70" i="30" a="1"/>
  <c r="L40" i="30" a="1"/>
  <c r="C79" i="30" a="1"/>
  <c r="C62" i="72" a="1"/>
  <c r="B14" i="90" a="1"/>
  <c r="Q133" i="30"/>
  <c r="Q14" i="30"/>
  <c r="E29" i="72" a="1"/>
  <c r="C14" i="30" a="1"/>
  <c r="L137" i="30" a="1"/>
  <c r="J112" i="30" a="1"/>
  <c r="K127" i="72" a="1"/>
  <c r="K121" i="30" a="1"/>
  <c r="J139" i="30" a="1"/>
  <c r="D87" i="30" a="1"/>
  <c r="L37" i="30" a="1"/>
  <c r="L90" i="30" a="1"/>
  <c r="Q107" i="30"/>
  <c r="Q119" i="30"/>
  <c r="K107" i="72" a="1"/>
  <c r="K46" i="30" a="1"/>
  <c r="D101" i="30" a="1"/>
  <c r="D83" i="72" a="1"/>
  <c r="E67" i="72" a="1"/>
  <c r="D109" i="72" a="1"/>
  <c r="D46" i="72" a="1"/>
  <c r="K28" i="30" a="1"/>
  <c r="E106" i="72" a="1"/>
  <c r="E96" i="72" a="1"/>
  <c r="L68" i="30" a="1"/>
  <c r="C128" i="30" a="1"/>
  <c r="K64" i="30" a="1"/>
  <c r="K72" i="72" a="1"/>
  <c r="D138" i="72" a="1"/>
  <c r="S125" i="30"/>
  <c r="K19" i="30" a="1"/>
  <c r="J19" i="30" a="1"/>
  <c r="D135" i="30" a="1"/>
  <c r="S43" i="30"/>
  <c r="J68" i="30" a="1"/>
  <c r="S11" i="30"/>
  <c r="Q43" i="30"/>
  <c r="E86" i="72" a="1"/>
  <c r="D114" i="30" a="1"/>
  <c r="E153" i="72" a="1"/>
  <c r="Q117" i="30"/>
  <c r="Q18" i="30"/>
  <c r="C75" i="30" a="1"/>
  <c r="L97" i="30" a="1"/>
  <c r="K83" i="72" a="1"/>
  <c r="K134" i="30" a="1"/>
  <c r="Q21" i="30"/>
  <c r="D7" i="30" a="1"/>
  <c r="C93" i="30" a="1"/>
  <c r="C42" i="72" a="1"/>
  <c r="L123" i="30" a="1"/>
  <c r="S74" i="30"/>
  <c r="Q17" i="30"/>
  <c r="C6" i="79" a="1"/>
  <c r="C99" i="72" a="1"/>
  <c r="C53" i="72" a="1"/>
  <c r="K73" i="72" a="1"/>
  <c r="D124" i="30" a="1"/>
  <c r="D41" i="30" a="1"/>
  <c r="Q143" i="30"/>
  <c r="A2" i="90" a="1"/>
  <c r="C113" i="72" a="1"/>
  <c r="L75" i="30" a="1"/>
  <c r="C5" i="30" a="1"/>
  <c r="K111" i="30" a="1"/>
  <c r="B3" i="70" a="1"/>
  <c r="J64" i="30" a="1"/>
  <c r="K5" i="30" a="1"/>
  <c r="C50" i="30" a="1"/>
  <c r="D145" i="72" a="1"/>
  <c r="S44" i="30"/>
  <c r="L46" i="30" a="1"/>
  <c r="K88" i="72" a="1"/>
  <c r="D115" i="30" a="1"/>
  <c r="D12" i="72" a="1"/>
  <c r="D36" i="30" a="1"/>
  <c r="A13" i="90" a="1"/>
  <c r="D6" i="72" a="1"/>
  <c r="E33" i="72" a="1"/>
  <c r="C13" i="30" a="1"/>
  <c r="L72" i="30" a="1"/>
  <c r="J133" i="30" a="1"/>
  <c r="K40" i="30" a="1"/>
  <c r="E90" i="72" a="1"/>
  <c r="K84" i="72" a="1"/>
  <c r="S140" i="30"/>
  <c r="L107" i="30" a="1"/>
  <c r="L102" i="30" a="1"/>
  <c r="K120" i="72" a="1"/>
  <c r="K35" i="30" a="1"/>
  <c r="E130" i="72" a="1"/>
  <c r="K136" i="30" a="1"/>
  <c r="Q74" i="30"/>
  <c r="E40" i="72" a="1"/>
  <c r="L44" i="30" a="1"/>
  <c r="C125" i="72" a="1"/>
  <c r="D55" i="72" a="1"/>
  <c r="Q105" i="30"/>
  <c r="K96" i="72" a="1"/>
  <c r="L87" i="30" a="1"/>
  <c r="E3" i="72" a="1"/>
  <c r="D73" i="30" a="1"/>
  <c r="E27" i="72" a="1"/>
  <c r="E14" i="72" a="1"/>
  <c r="L71" i="30" a="1"/>
  <c r="K39" i="30" a="1"/>
  <c r="K28" i="72" a="1"/>
  <c r="J4" i="30" a="1"/>
  <c r="D62" i="30" a="1"/>
  <c r="K43" i="30" a="1"/>
  <c r="L134" i="30" a="1"/>
  <c r="J75" i="30" a="1"/>
  <c r="D78" i="72" a="1"/>
  <c r="E49" i="72" a="1"/>
  <c r="L14" i="30" a="1"/>
  <c r="D110" i="30" a="1"/>
  <c r="D70" i="30" a="1"/>
  <c r="C20" i="30" a="1"/>
  <c r="L76" i="30" a="1"/>
  <c r="Q86" i="30"/>
  <c r="L145" i="30" a="1"/>
  <c r="L61" i="30" a="1"/>
  <c r="D26" i="30" a="1"/>
  <c r="S118" i="30"/>
  <c r="C93" i="72" a="1"/>
  <c r="L42" i="30" a="1"/>
  <c r="D39" i="72" a="1"/>
  <c r="J36" i="30" a="1"/>
  <c r="D82" i="72" a="1"/>
  <c r="C65" i="72" a="1"/>
  <c r="L146" i="30" a="1"/>
  <c r="J76" i="30" a="1"/>
  <c r="D141" i="30" a="1"/>
  <c r="C28" i="30" a="1"/>
  <c r="D19" i="30" a="1"/>
  <c r="C2" i="72" a="1"/>
  <c r="K44" i="30" a="1"/>
  <c r="K107" i="30" a="1"/>
  <c r="J20" i="30" a="1"/>
  <c r="L147" i="30" a="1"/>
  <c r="D76" i="30" a="1"/>
  <c r="Q101" i="30"/>
  <c r="S8" i="30"/>
  <c r="L113" i="30" a="1"/>
  <c r="K4" i="30" a="1"/>
  <c r="C13" i="72" a="1"/>
  <c r="J130" i="30" a="1"/>
  <c r="J21" i="30" a="1"/>
  <c r="S113" i="30"/>
  <c r="S108" i="30"/>
  <c r="L128" i="30" a="1"/>
  <c r="D44" i="72" a="1"/>
  <c r="D121" i="30" a="1"/>
  <c r="D108" i="30" a="1"/>
  <c r="C61" i="30" a="1"/>
  <c r="L129" i="30" a="1"/>
  <c r="L20" i="30" a="1"/>
  <c r="Q146" i="30"/>
  <c r="D97" i="72" a="1"/>
  <c r="E76" i="72" a="1"/>
  <c r="D113" i="72" a="1"/>
  <c r="K6" i="30" a="1"/>
  <c r="E128" i="72" a="1"/>
  <c r="D27" i="72" a="1"/>
  <c r="L10" i="30" a="1"/>
  <c r="S15" i="30"/>
  <c r="S71" i="30"/>
  <c r="K3" i="72" a="1"/>
  <c r="C17" i="72" a="1"/>
  <c r="K34" i="30" a="1"/>
  <c r="K16" i="30" a="1"/>
  <c r="C141" i="30" a="1"/>
  <c r="K130" i="72" a="1"/>
  <c r="D97" i="30" a="1"/>
  <c r="D42" i="30" a="1"/>
  <c r="S149" i="30"/>
  <c r="C3" i="30" a="1"/>
  <c r="D127" i="72" a="1"/>
  <c r="K128" i="30" a="1"/>
  <c r="J89" i="30" a="1"/>
  <c r="Q46" i="30"/>
  <c r="K100" i="72" a="1"/>
  <c r="D143" i="30" a="1"/>
  <c r="S30" i="30"/>
  <c r="Q68" i="30"/>
  <c r="E79" i="72" a="1"/>
  <c r="D147" i="72" a="1"/>
  <c r="S142" i="30"/>
  <c r="C130" i="30" a="1"/>
  <c r="K59" i="30" a="1"/>
  <c r="D122" i="30" a="1"/>
  <c r="E151" i="72" a="1"/>
  <c r="S139" i="30"/>
  <c r="K33" i="30" a="1"/>
  <c r="D99" i="30" a="1"/>
  <c r="L34" i="30" a="1"/>
  <c r="L138" i="30" a="1"/>
  <c r="L63" i="30" a="1"/>
  <c r="S151" i="30"/>
  <c r="A24" i="90" a="1"/>
  <c r="C107" i="30" a="1"/>
  <c r="D69" i="72" a="1"/>
  <c r="C124" i="72" a="1"/>
  <c r="Q129" i="30"/>
  <c r="C127" i="30" a="1"/>
  <c r="K109" i="30" a="1"/>
  <c r="B8" i="70" a="1"/>
  <c r="J28" i="30" a="1"/>
  <c r="K89" i="30" a="1"/>
  <c r="S130" i="30"/>
  <c r="L93" i="30" a="1"/>
  <c r="E2" i="72" a="1"/>
  <c r="K111" i="72" a="1"/>
  <c r="Q115" i="30"/>
  <c r="L141" i="30" a="1"/>
  <c r="C62" i="30" a="1"/>
  <c r="J33" i="30" a="1"/>
  <c r="C29" i="72" a="1"/>
  <c r="C54" i="30" a="1"/>
  <c r="B15" i="90" a="1"/>
  <c r="K115" i="30" a="1"/>
  <c r="D142" i="30" a="1"/>
  <c r="S78" i="30"/>
  <c r="E148" i="72" a="1"/>
  <c r="Q30" i="30"/>
  <c r="Q138" i="30"/>
  <c r="K103" i="30" a="1"/>
  <c r="Q8" i="30"/>
  <c r="J101" i="30" a="1"/>
  <c r="L52" i="30" a="1"/>
  <c r="B5" i="70" a="1"/>
  <c r="C14" i="72" a="1"/>
  <c r="L57" i="30" a="1"/>
  <c r="D87" i="72" a="1"/>
  <c r="J111" i="30" a="1"/>
  <c r="K129" i="72" a="1"/>
  <c r="K38" i="72" a="1"/>
  <c r="C29" i="30" a="1"/>
  <c r="J3" i="30" a="1"/>
  <c r="C95" i="30" a="1"/>
  <c r="C90" i="30" a="1"/>
  <c r="L30" i="30" a="1"/>
  <c r="K142" i="30" a="1"/>
  <c r="C85" i="30" a="1"/>
  <c r="K22" i="72" a="1"/>
  <c r="J126" i="30" a="1"/>
  <c r="J93" i="30" a="1"/>
  <c r="J70" i="30" a="1"/>
  <c r="K133" i="72" a="1"/>
  <c r="E15" i="72" a="1"/>
  <c r="D78" i="30" a="1"/>
  <c r="D75" i="72" a="1"/>
  <c r="K94" i="30" a="1"/>
  <c r="A8" i="90" a="1"/>
  <c r="C58" i="72" a="1"/>
  <c r="Q49" i="30"/>
  <c r="J33" i="72"/>
  <c r="K33" i="72" a="1"/>
  <c r="K33" i="72"/>
  <c r="J39" i="72"/>
  <c r="K39" i="72" a="1"/>
  <c r="K39" i="72"/>
  <c r="C22" i="79"/>
  <c r="J25" i="72"/>
  <c r="K25" i="72" a="1"/>
  <c r="K25" i="72"/>
  <c r="J7" i="72"/>
  <c r="K7" i="72" a="1"/>
  <c r="K7" i="72"/>
  <c r="J4" i="72"/>
  <c r="K4" i="72" a="1"/>
  <c r="K4" i="72"/>
  <c r="J41" i="72"/>
  <c r="K41" i="72" a="1"/>
  <c r="J24" i="72"/>
  <c r="K24" i="72" a="1"/>
  <c r="K24" i="72"/>
  <c r="D12" i="72"/>
  <c r="C140" i="30"/>
  <c r="C122" i="30"/>
  <c r="K82" i="72"/>
  <c r="A7" i="90"/>
  <c r="L136" i="30"/>
  <c r="C61" i="30"/>
  <c r="K22" i="72"/>
  <c r="C138" i="72"/>
  <c r="D115" i="30"/>
  <c r="D80" i="72"/>
  <c r="D53" i="72"/>
  <c r="C136" i="72"/>
  <c r="K58" i="72"/>
  <c r="J78" i="30"/>
  <c r="C41" i="72"/>
  <c r="K88" i="72"/>
  <c r="K110" i="30"/>
  <c r="E85" i="72"/>
  <c r="C86" i="72"/>
  <c r="J140" i="30"/>
  <c r="C126" i="30"/>
  <c r="K76" i="72"/>
  <c r="L55" i="30"/>
  <c r="D117" i="30"/>
  <c r="C2" i="30"/>
  <c r="C3" i="30"/>
  <c r="C4" i="30"/>
  <c r="C5" i="30"/>
  <c r="C6" i="30"/>
  <c r="C7" i="30"/>
  <c r="B2" i="88"/>
  <c r="E148" i="72"/>
  <c r="D123" i="30"/>
  <c r="L46" i="30"/>
  <c r="J135" i="30"/>
  <c r="J143" i="30"/>
  <c r="D75" i="30"/>
  <c r="C12" i="72"/>
  <c r="C74" i="30"/>
  <c r="E122" i="72"/>
  <c r="E130" i="72"/>
  <c r="E62" i="72"/>
  <c r="D28" i="30"/>
  <c r="J130" i="30"/>
  <c r="L85" i="30"/>
  <c r="C39" i="72"/>
  <c r="C70" i="30"/>
  <c r="L148" i="30"/>
  <c r="J14" i="30"/>
  <c r="L102" i="30"/>
  <c r="D142" i="30"/>
  <c r="D145" i="72"/>
  <c r="D64" i="72"/>
  <c r="D7" i="72"/>
  <c r="J43" i="30"/>
  <c r="D96" i="30"/>
  <c r="E103" i="72"/>
  <c r="C60" i="72"/>
  <c r="K149" i="30"/>
  <c r="C85" i="30"/>
  <c r="C18" i="30"/>
  <c r="K115" i="30"/>
  <c r="K84" i="72"/>
  <c r="C50" i="30"/>
  <c r="C116" i="30"/>
  <c r="K115" i="72"/>
  <c r="C83" i="72"/>
  <c r="E95" i="72"/>
  <c r="J41" i="30"/>
  <c r="K141" i="72"/>
  <c r="D51" i="30"/>
  <c r="C135" i="72"/>
  <c r="B15" i="90"/>
  <c r="E90" i="72"/>
  <c r="K5" i="30"/>
  <c r="C96" i="30"/>
  <c r="D98" i="72"/>
  <c r="C71" i="72"/>
  <c r="L49" i="30"/>
  <c r="K68" i="72"/>
  <c r="K142" i="30"/>
  <c r="D32" i="72"/>
  <c r="C54" i="30"/>
  <c r="K40" i="30"/>
  <c r="B19" i="90"/>
  <c r="K67" i="30"/>
  <c r="C123" i="72"/>
  <c r="E60" i="72"/>
  <c r="K85" i="72"/>
  <c r="A3" i="90"/>
  <c r="J86" i="30"/>
  <c r="C72" i="30"/>
  <c r="C29" i="72"/>
  <c r="J133" i="30"/>
  <c r="J64" i="30"/>
  <c r="D133" i="30"/>
  <c r="L64" i="30"/>
  <c r="D11" i="30"/>
  <c r="D31" i="72"/>
  <c r="D99" i="72"/>
  <c r="J33" i="30"/>
  <c r="L72" i="30"/>
  <c r="B3" i="70"/>
  <c r="J103" i="30"/>
  <c r="B25" i="90"/>
  <c r="L107" i="30"/>
  <c r="D6" i="30"/>
  <c r="C62" i="30"/>
  <c r="C13" i="30"/>
  <c r="K111" i="30"/>
  <c r="L124" i="30"/>
  <c r="J16" i="30"/>
  <c r="E94" i="72"/>
  <c r="J125" i="30"/>
  <c r="C53" i="30"/>
  <c r="E110" i="72"/>
  <c r="C58" i="72"/>
  <c r="L30" i="30"/>
  <c r="L141" i="30"/>
  <c r="E33" i="72"/>
  <c r="B5" i="83"/>
  <c r="D91" i="72"/>
  <c r="J37" i="30"/>
  <c r="K150" i="30"/>
  <c r="D102" i="72"/>
  <c r="L69" i="30"/>
  <c r="D135" i="72"/>
  <c r="D112" i="30"/>
  <c r="D6" i="72"/>
  <c r="L75" i="30"/>
  <c r="C14" i="30"/>
  <c r="L104" i="30"/>
  <c r="E65" i="72"/>
  <c r="D100" i="30"/>
  <c r="K27" i="30"/>
  <c r="D89" i="72"/>
  <c r="D108" i="30"/>
  <c r="C90" i="30"/>
  <c r="J92" i="30"/>
  <c r="K111" i="72"/>
  <c r="C13" i="72"/>
  <c r="C113" i="72"/>
  <c r="C100" i="30"/>
  <c r="J62" i="30"/>
  <c r="L15" i="30"/>
  <c r="D56" i="72"/>
  <c r="C59" i="30"/>
  <c r="C154" i="72"/>
  <c r="K145" i="30"/>
  <c r="J21" i="30"/>
  <c r="C82" i="30"/>
  <c r="E2" i="72"/>
  <c r="K4" i="30"/>
  <c r="A2" i="90"/>
  <c r="E29" i="72"/>
  <c r="K129" i="30"/>
  <c r="C21" i="30"/>
  <c r="C108" i="72"/>
  <c r="K101" i="30"/>
  <c r="J136" i="30"/>
  <c r="K15" i="30"/>
  <c r="L93" i="30"/>
  <c r="A13" i="90"/>
  <c r="K154" i="72"/>
  <c r="E107" i="72"/>
  <c r="D49" i="30"/>
  <c r="D129" i="72"/>
  <c r="K123" i="72"/>
  <c r="D72" i="72"/>
  <c r="K12" i="30"/>
  <c r="C103" i="30"/>
  <c r="L113" i="30"/>
  <c r="D41" i="30"/>
  <c r="K81" i="72"/>
  <c r="E154" i="72"/>
  <c r="K15" i="72"/>
  <c r="D2" i="30"/>
  <c r="D3" i="30"/>
  <c r="D4" i="30"/>
  <c r="D5" i="30"/>
  <c r="D7" i="30"/>
  <c r="B3" i="88"/>
  <c r="L17" i="30"/>
  <c r="B10" i="90"/>
  <c r="C95" i="30"/>
  <c r="C38" i="30"/>
  <c r="K89" i="30"/>
  <c r="D124" i="30"/>
  <c r="E147" i="72"/>
  <c r="J109" i="30"/>
  <c r="K79" i="30"/>
  <c r="C117" i="30"/>
  <c r="K139" i="30"/>
  <c r="C145" i="72"/>
  <c r="L143" i="30"/>
  <c r="C144" i="30"/>
  <c r="J28" i="30"/>
  <c r="K73" i="72"/>
  <c r="D104" i="30"/>
  <c r="D82" i="30"/>
  <c r="J147" i="30"/>
  <c r="D58" i="72"/>
  <c r="C9" i="72"/>
  <c r="K7" i="30"/>
  <c r="A8" i="90"/>
  <c r="C109" i="30"/>
  <c r="L80" i="30"/>
  <c r="B8" i="70"/>
  <c r="D58" i="30"/>
  <c r="D76" i="30"/>
  <c r="C53" i="72"/>
  <c r="K124" i="72"/>
  <c r="J29" i="30"/>
  <c r="C70" i="72"/>
  <c r="J128" i="30"/>
  <c r="K89" i="72"/>
  <c r="D16" i="30"/>
  <c r="J3" i="30"/>
  <c r="C23" i="72"/>
  <c r="K109" i="30"/>
  <c r="L147" i="30"/>
  <c r="C99" i="72"/>
  <c r="C87" i="30"/>
  <c r="D67" i="72"/>
  <c r="E140" i="72"/>
  <c r="A17" i="90"/>
  <c r="K102" i="30"/>
  <c r="J38" i="30"/>
  <c r="D40" i="72"/>
  <c r="C127" i="30"/>
  <c r="J20" i="30"/>
  <c r="C6" i="79"/>
  <c r="D104" i="72"/>
  <c r="E34" i="72"/>
  <c r="E100" i="72"/>
  <c r="D71" i="30"/>
  <c r="L86" i="30"/>
  <c r="K97" i="30"/>
  <c r="K52" i="72"/>
  <c r="B4" i="90"/>
  <c r="K107" i="30"/>
  <c r="D48" i="30"/>
  <c r="E98" i="72"/>
  <c r="J129" i="30"/>
  <c r="C49" i="30"/>
  <c r="C99" i="30"/>
  <c r="J66" i="30"/>
  <c r="K94" i="30"/>
  <c r="C29" i="30"/>
  <c r="K9" i="72"/>
  <c r="C124" i="72"/>
  <c r="F5" i="83"/>
  <c r="E70" i="72"/>
  <c r="E19" i="72"/>
  <c r="D44" i="30"/>
  <c r="K125" i="72"/>
  <c r="J67" i="30"/>
  <c r="K35" i="30"/>
  <c r="K38" i="72"/>
  <c r="L45" i="30"/>
  <c r="D69" i="72"/>
  <c r="D36" i="30"/>
  <c r="L123" i="30"/>
  <c r="B14" i="90"/>
  <c r="C39" i="30"/>
  <c r="C102" i="30"/>
  <c r="K36" i="72"/>
  <c r="K134" i="72"/>
  <c r="K129" i="72"/>
  <c r="K63" i="72"/>
  <c r="C107" i="30"/>
  <c r="K44" i="30"/>
  <c r="C42" i="72"/>
  <c r="C44" i="30"/>
  <c r="L132" i="30"/>
  <c r="K20" i="72"/>
  <c r="K144" i="30"/>
  <c r="D144" i="72"/>
  <c r="J111" i="30"/>
  <c r="C80" i="30"/>
  <c r="A24" i="90"/>
  <c r="C2" i="72"/>
  <c r="C93" i="30"/>
  <c r="C62" i="72"/>
  <c r="K35" i="72"/>
  <c r="L130" i="30"/>
  <c r="C48" i="72"/>
  <c r="J59" i="30"/>
  <c r="D140" i="30"/>
  <c r="K88" i="30"/>
  <c r="D19" i="30"/>
  <c r="C79" i="30"/>
  <c r="L139" i="30"/>
  <c r="D134" i="30"/>
  <c r="K2" i="72"/>
  <c r="L5" i="30"/>
  <c r="E35" i="72"/>
  <c r="C45" i="72"/>
  <c r="C56" i="72"/>
  <c r="L63" i="30"/>
  <c r="C28" i="30"/>
  <c r="J115" i="30"/>
  <c r="D9" i="30"/>
  <c r="J144" i="30"/>
  <c r="L120" i="30"/>
  <c r="J122" i="30"/>
  <c r="E61" i="72"/>
  <c r="D75" i="72"/>
  <c r="D63" i="72"/>
  <c r="C125" i="30"/>
  <c r="L138" i="30"/>
  <c r="D141" i="30"/>
  <c r="K146" i="30"/>
  <c r="K134" i="30"/>
  <c r="L40" i="30"/>
  <c r="B8" i="90"/>
  <c r="E42" i="72"/>
  <c r="D20" i="30"/>
  <c r="C11" i="72"/>
  <c r="J82" i="30"/>
  <c r="D14" i="30"/>
  <c r="C132" i="72"/>
  <c r="L34" i="30"/>
  <c r="K65" i="72"/>
  <c r="J76" i="30"/>
  <c r="K83" i="72"/>
  <c r="K70" i="30"/>
  <c r="E11" i="72"/>
  <c r="J34" i="30"/>
  <c r="J79" i="30"/>
  <c r="L117" i="30"/>
  <c r="D136" i="30"/>
  <c r="E127" i="72"/>
  <c r="K91" i="72"/>
  <c r="D99" i="30"/>
  <c r="L146" i="30"/>
  <c r="L97" i="30"/>
  <c r="L95" i="30"/>
  <c r="K62" i="72"/>
  <c r="D57" i="30"/>
  <c r="D74" i="30"/>
  <c r="D78" i="30"/>
  <c r="B12" i="70"/>
  <c r="C49" i="72"/>
  <c r="K3" i="30"/>
  <c r="K6" i="30"/>
  <c r="B5" i="88"/>
  <c r="K33" i="30"/>
  <c r="C65" i="72"/>
  <c r="C75" i="30"/>
  <c r="J118" i="30"/>
  <c r="D39" i="30"/>
  <c r="D57" i="72"/>
  <c r="J7" i="30"/>
  <c r="B16" i="70"/>
  <c r="B11" i="70"/>
  <c r="E23" i="72"/>
  <c r="D82" i="72"/>
  <c r="L94" i="30"/>
  <c r="J95" i="30"/>
  <c r="C100" i="72"/>
  <c r="L109" i="30"/>
  <c r="D29" i="72"/>
  <c r="L101" i="30"/>
  <c r="D30" i="30"/>
  <c r="E151" i="72"/>
  <c r="J36" i="30"/>
  <c r="K95" i="72"/>
  <c r="C22" i="30"/>
  <c r="L12" i="30"/>
  <c r="K128" i="72"/>
  <c r="K137" i="72"/>
  <c r="E69" i="72"/>
  <c r="E123" i="72"/>
  <c r="A25" i="90"/>
  <c r="E15" i="72"/>
  <c r="D127" i="30"/>
  <c r="D122" i="30"/>
  <c r="D45" i="30"/>
  <c r="D39" i="72"/>
  <c r="E153" i="72"/>
  <c r="J6" i="30"/>
  <c r="D128" i="30"/>
  <c r="K71" i="30"/>
  <c r="K121" i="72"/>
  <c r="C78" i="72"/>
  <c r="E84" i="72"/>
  <c r="D60" i="30"/>
  <c r="C51" i="72"/>
  <c r="K47" i="30"/>
  <c r="L82" i="30"/>
  <c r="K59" i="30"/>
  <c r="L35" i="30"/>
  <c r="L42" i="30"/>
  <c r="D114" i="30"/>
  <c r="K42" i="30"/>
  <c r="J42" i="30"/>
  <c r="E9" i="72"/>
  <c r="D37" i="30"/>
  <c r="D121" i="30"/>
  <c r="C128" i="72"/>
  <c r="D120" i="30"/>
  <c r="D50" i="72"/>
  <c r="C130" i="30"/>
  <c r="C51" i="30"/>
  <c r="C93" i="72"/>
  <c r="E86" i="72"/>
  <c r="E16" i="72"/>
  <c r="K66" i="72"/>
  <c r="K126" i="30"/>
  <c r="K113" i="30"/>
  <c r="L39" i="30"/>
  <c r="K94" i="72"/>
  <c r="C27" i="72"/>
  <c r="D95" i="72"/>
  <c r="J83" i="30"/>
  <c r="D152" i="72"/>
  <c r="C143" i="30"/>
  <c r="C19" i="30"/>
  <c r="L79" i="30"/>
  <c r="C23" i="30"/>
  <c r="C114" i="30"/>
  <c r="D44" i="72"/>
  <c r="B6" i="90"/>
  <c r="E142" i="72"/>
  <c r="D147" i="72"/>
  <c r="D26" i="30"/>
  <c r="K80" i="72"/>
  <c r="D25" i="30"/>
  <c r="C40" i="30"/>
  <c r="B3" i="90"/>
  <c r="K43" i="72"/>
  <c r="C103" i="72"/>
  <c r="K140" i="72"/>
  <c r="K133" i="72"/>
  <c r="J10" i="30"/>
  <c r="D111" i="30"/>
  <c r="E92" i="72"/>
  <c r="E79" i="72"/>
  <c r="L61" i="30"/>
  <c r="J68" i="30"/>
  <c r="E18" i="72"/>
  <c r="C142" i="30"/>
  <c r="E28" i="72"/>
  <c r="A15" i="90"/>
  <c r="C9" i="30"/>
  <c r="B9" i="83"/>
  <c r="L74" i="30"/>
  <c r="C11" i="30"/>
  <c r="B11" i="83"/>
  <c r="C136" i="30"/>
  <c r="E53" i="72"/>
  <c r="D5" i="72"/>
  <c r="C21" i="72"/>
  <c r="D33" i="72"/>
  <c r="L145" i="30"/>
  <c r="L3" i="30"/>
  <c r="K76" i="30"/>
  <c r="C150" i="72"/>
  <c r="J63" i="30"/>
  <c r="K54" i="72"/>
  <c r="C86" i="30"/>
  <c r="J56" i="30"/>
  <c r="F4" i="83"/>
  <c r="E119" i="72"/>
  <c r="D76" i="72"/>
  <c r="C18" i="72"/>
  <c r="D138" i="30"/>
  <c r="K34" i="72"/>
  <c r="E131" i="72"/>
  <c r="D135" i="30"/>
  <c r="K46" i="72"/>
  <c r="C90" i="72"/>
  <c r="C138" i="30"/>
  <c r="C118" i="30"/>
  <c r="F6" i="83"/>
  <c r="K65" i="30"/>
  <c r="D66" i="30"/>
  <c r="L47" i="30"/>
  <c r="D54" i="30"/>
  <c r="D130" i="30"/>
  <c r="C48" i="30"/>
  <c r="C94" i="30"/>
  <c r="D143" i="30"/>
  <c r="L76" i="30"/>
  <c r="F9" i="83"/>
  <c r="J19" i="30"/>
  <c r="K10" i="72"/>
  <c r="C137" i="72"/>
  <c r="C79" i="72"/>
  <c r="J80" i="30"/>
  <c r="D100" i="72"/>
  <c r="B11" i="90"/>
  <c r="D27" i="30"/>
  <c r="K82" i="30"/>
  <c r="J27" i="30"/>
  <c r="E135" i="72"/>
  <c r="J52" i="30"/>
  <c r="K100" i="72"/>
  <c r="C122" i="72"/>
  <c r="C20" i="30"/>
  <c r="C20" i="72"/>
  <c r="K19" i="30"/>
  <c r="C25" i="30"/>
  <c r="J25" i="30"/>
  <c r="E102" i="72"/>
  <c r="D90" i="30"/>
  <c r="J105" i="30"/>
  <c r="C150" i="30"/>
  <c r="L91" i="30"/>
  <c r="L11" i="30"/>
  <c r="J70" i="30"/>
  <c r="C78" i="30"/>
  <c r="D18" i="30"/>
  <c r="C63" i="30"/>
  <c r="K48" i="30"/>
  <c r="D70" i="30"/>
  <c r="D31" i="30"/>
  <c r="E68" i="72"/>
  <c r="D43" i="30"/>
  <c r="K29" i="72"/>
  <c r="K60" i="72"/>
  <c r="K105" i="30"/>
  <c r="C139" i="30"/>
  <c r="J149" i="30"/>
  <c r="D64" i="30"/>
  <c r="J121" i="30"/>
  <c r="K135" i="30"/>
  <c r="D122" i="72"/>
  <c r="D86" i="72"/>
  <c r="C88" i="72"/>
  <c r="J123" i="30"/>
  <c r="E57" i="72"/>
  <c r="K23" i="72"/>
  <c r="J89" i="30"/>
  <c r="D120" i="72"/>
  <c r="D110" i="30"/>
  <c r="C144" i="72"/>
  <c r="L26" i="30"/>
  <c r="D138" i="72"/>
  <c r="D12" i="30"/>
  <c r="D15" i="30"/>
  <c r="E104" i="72"/>
  <c r="L73" i="30"/>
  <c r="D48" i="72"/>
  <c r="C67" i="30"/>
  <c r="J53" i="30"/>
  <c r="E108" i="72"/>
  <c r="K104" i="30"/>
  <c r="L9" i="30"/>
  <c r="D18" i="72"/>
  <c r="J93" i="30"/>
  <c r="L149" i="30"/>
  <c r="L115" i="30"/>
  <c r="K128" i="30"/>
  <c r="D65" i="72"/>
  <c r="L14" i="30"/>
  <c r="L50" i="30"/>
  <c r="C104" i="72"/>
  <c r="K72" i="72"/>
  <c r="C132" i="30"/>
  <c r="A18" i="90"/>
  <c r="K96" i="30"/>
  <c r="C30" i="72"/>
  <c r="B2" i="70"/>
  <c r="K21" i="30"/>
  <c r="B21" i="90"/>
  <c r="C30" i="30"/>
  <c r="E8" i="72"/>
  <c r="K117" i="30"/>
  <c r="K75" i="30"/>
  <c r="J126" i="30"/>
  <c r="C84" i="72"/>
  <c r="C5" i="72"/>
  <c r="B2" i="90"/>
  <c r="D127" i="72"/>
  <c r="J69" i="30"/>
  <c r="E146" i="72"/>
  <c r="E49" i="72"/>
  <c r="E87" i="72"/>
  <c r="K64" i="30"/>
  <c r="K118" i="30"/>
  <c r="C110" i="72"/>
  <c r="D50" i="30"/>
  <c r="C105" i="72"/>
  <c r="J96" i="30"/>
  <c r="E59" i="72"/>
  <c r="C134" i="30"/>
  <c r="J32" i="30"/>
  <c r="E25" i="72"/>
  <c r="J151" i="30"/>
  <c r="D118" i="72"/>
  <c r="C123" i="30"/>
  <c r="D107" i="30"/>
  <c r="C84" i="30"/>
  <c r="B3" i="83"/>
  <c r="J138" i="30"/>
  <c r="D106" i="30"/>
  <c r="D78" i="72"/>
  <c r="C115" i="30"/>
  <c r="C128" i="30"/>
  <c r="E125" i="72"/>
  <c r="J15" i="30"/>
  <c r="C91" i="72"/>
  <c r="A14" i="90"/>
  <c r="J77" i="30"/>
  <c r="J8" i="30"/>
  <c r="D19" i="72"/>
  <c r="K21" i="72"/>
  <c r="L48" i="30"/>
  <c r="C37" i="72"/>
  <c r="K14" i="30"/>
  <c r="B5" i="90"/>
  <c r="C31" i="30"/>
  <c r="C141" i="72"/>
  <c r="K108" i="30"/>
  <c r="A16" i="90"/>
  <c r="J131" i="30"/>
  <c r="K78" i="30"/>
  <c r="C24" i="30"/>
  <c r="K148" i="30"/>
  <c r="J75" i="30"/>
  <c r="L68" i="30"/>
  <c r="D72" i="30"/>
  <c r="K70" i="72"/>
  <c r="K95" i="30"/>
  <c r="L114" i="30"/>
  <c r="J72" i="30"/>
  <c r="D36" i="72"/>
  <c r="J84" i="30"/>
  <c r="K22" i="30"/>
  <c r="C6" i="72"/>
  <c r="C146" i="72"/>
  <c r="D3" i="72"/>
  <c r="L22" i="30"/>
  <c r="C89" i="72"/>
  <c r="D146" i="72"/>
  <c r="D88" i="30"/>
  <c r="J58" i="30"/>
  <c r="C95" i="72"/>
  <c r="L4" i="30"/>
  <c r="J137" i="30"/>
  <c r="C88" i="30"/>
  <c r="J35" i="30"/>
  <c r="D42" i="30"/>
  <c r="C94" i="72"/>
  <c r="L59" i="30"/>
  <c r="L134" i="30"/>
  <c r="E82" i="72"/>
  <c r="C56" i="30"/>
  <c r="E96" i="72"/>
  <c r="C106" i="72"/>
  <c r="D77" i="30"/>
  <c r="D139" i="72"/>
  <c r="F7" i="83"/>
  <c r="L62" i="30"/>
  <c r="C41" i="30"/>
  <c r="D21" i="30"/>
  <c r="B13" i="90"/>
  <c r="K6" i="72"/>
  <c r="L53" i="30"/>
  <c r="E143" i="72"/>
  <c r="C64" i="72"/>
  <c r="J124" i="30"/>
  <c r="D129" i="30"/>
  <c r="L128" i="30"/>
  <c r="D38" i="30"/>
  <c r="J91" i="30"/>
  <c r="C12" i="30"/>
  <c r="C74" i="72"/>
  <c r="K106" i="30"/>
  <c r="D97" i="30"/>
  <c r="L21" i="30"/>
  <c r="D22" i="72"/>
  <c r="K43" i="30"/>
  <c r="C120" i="30"/>
  <c r="E106" i="72"/>
  <c r="C147" i="30"/>
  <c r="D2" i="72"/>
  <c r="J116" i="30"/>
  <c r="E71" i="72"/>
  <c r="C98" i="30"/>
  <c r="L32" i="30"/>
  <c r="K135" i="72"/>
  <c r="K41" i="72"/>
  <c r="J30" i="30"/>
  <c r="B20" i="90"/>
  <c r="E137" i="72"/>
  <c r="D40" i="30"/>
  <c r="C153" i="72"/>
  <c r="D134" i="72"/>
  <c r="D146" i="30"/>
  <c r="C8" i="72"/>
  <c r="D28" i="72"/>
  <c r="L118" i="30"/>
  <c r="D149" i="30"/>
  <c r="A20" i="90"/>
  <c r="L131" i="30"/>
  <c r="C91" i="30"/>
  <c r="K124" i="30"/>
  <c r="K130" i="72"/>
  <c r="D62" i="30"/>
  <c r="K28" i="30"/>
  <c r="D35" i="30"/>
  <c r="E138" i="72"/>
  <c r="B17" i="70"/>
  <c r="J2" i="30"/>
  <c r="J4" i="30"/>
  <c r="J5" i="30"/>
  <c r="A5" i="88"/>
  <c r="D153" i="72"/>
  <c r="K23" i="30"/>
  <c r="D23" i="30"/>
  <c r="C46" i="30"/>
  <c r="K91" i="30"/>
  <c r="D22" i="30"/>
  <c r="K31" i="30"/>
  <c r="C148" i="30"/>
  <c r="L150" i="30"/>
  <c r="D10" i="72"/>
  <c r="D91" i="30"/>
  <c r="D151" i="72"/>
  <c r="D87" i="72"/>
  <c r="D51" i="72"/>
  <c r="J119" i="30"/>
  <c r="B19" i="70"/>
  <c r="C141" i="30"/>
  <c r="C60" i="30"/>
  <c r="K103" i="72"/>
  <c r="D46" i="72"/>
  <c r="J94" i="30"/>
  <c r="D15" i="72"/>
  <c r="B16" i="90"/>
  <c r="D107" i="72"/>
  <c r="L88" i="30"/>
  <c r="E31" i="72"/>
  <c r="L81" i="30"/>
  <c r="E22" i="72"/>
  <c r="C121" i="72"/>
  <c r="A4" i="90"/>
  <c r="C152" i="72"/>
  <c r="D90" i="72"/>
  <c r="C149" i="30"/>
  <c r="D20" i="72"/>
  <c r="L57" i="30"/>
  <c r="C76" i="72"/>
  <c r="D55" i="30"/>
  <c r="B9" i="90"/>
  <c r="L125" i="30"/>
  <c r="K16" i="30"/>
  <c r="K138" i="30"/>
  <c r="K28" i="72"/>
  <c r="D109" i="72"/>
  <c r="D84" i="30"/>
  <c r="L92" i="30"/>
  <c r="C52" i="30"/>
  <c r="K77" i="30"/>
  <c r="C77" i="72"/>
  <c r="E115" i="72"/>
  <c r="J132" i="30"/>
  <c r="B17" i="90"/>
  <c r="K55" i="30"/>
  <c r="J98" i="30"/>
  <c r="D52" i="30"/>
  <c r="L31" i="30"/>
  <c r="C73" i="72"/>
  <c r="B22" i="90"/>
  <c r="D128" i="72"/>
  <c r="C85" i="72"/>
  <c r="K120" i="72"/>
  <c r="J65" i="30"/>
  <c r="D136" i="72"/>
  <c r="E116" i="72"/>
  <c r="D24" i="30"/>
  <c r="K34" i="30"/>
  <c r="J106" i="30"/>
  <c r="E66" i="72"/>
  <c r="K39" i="30"/>
  <c r="J55" i="30"/>
  <c r="D73" i="72"/>
  <c r="E67" i="72"/>
  <c r="B26" i="90"/>
  <c r="D34" i="72"/>
  <c r="K116" i="72"/>
  <c r="E44" i="72"/>
  <c r="E117" i="72"/>
  <c r="D81" i="72"/>
  <c r="B6" i="70"/>
  <c r="C108" i="30"/>
  <c r="E6" i="72"/>
  <c r="K57" i="72"/>
  <c r="K122" i="72"/>
  <c r="K101" i="72"/>
  <c r="C97" i="72"/>
  <c r="D144" i="30"/>
  <c r="K152" i="72"/>
  <c r="C14" i="72"/>
  <c r="K48" i="72"/>
  <c r="D119" i="72"/>
  <c r="K150" i="72"/>
  <c r="C17" i="72"/>
  <c r="C143" i="72"/>
  <c r="K151" i="72"/>
  <c r="L71" i="30"/>
  <c r="C72" i="72"/>
  <c r="D83" i="72"/>
  <c r="D80" i="30"/>
  <c r="D81" i="30"/>
  <c r="J145" i="30"/>
  <c r="L51" i="30"/>
  <c r="D69" i="30"/>
  <c r="C89" i="30"/>
  <c r="L103" i="30"/>
  <c r="A5" i="90"/>
  <c r="C121" i="30"/>
  <c r="K54" i="30"/>
  <c r="C26" i="30"/>
  <c r="D147" i="30"/>
  <c r="B9" i="70"/>
  <c r="B27" i="90"/>
  <c r="K57" i="30"/>
  <c r="E10" i="72"/>
  <c r="D101" i="72"/>
  <c r="L105" i="30"/>
  <c r="D52" i="72"/>
  <c r="C33" i="72"/>
  <c r="K42" i="72"/>
  <c r="D70" i="72"/>
  <c r="C149" i="72"/>
  <c r="K3" i="72"/>
  <c r="E37" i="72"/>
  <c r="K26" i="72"/>
  <c r="E14" i="72"/>
  <c r="E129" i="72"/>
  <c r="D101" i="30"/>
  <c r="C111" i="30"/>
  <c r="C54" i="72"/>
  <c r="D124" i="72"/>
  <c r="K11" i="72"/>
  <c r="E114" i="72"/>
  <c r="C92" i="72"/>
  <c r="C81" i="30"/>
  <c r="C131" i="72"/>
  <c r="L144" i="30"/>
  <c r="E109" i="72"/>
  <c r="J141" i="30"/>
  <c r="K16" i="72"/>
  <c r="C118" i="72"/>
  <c r="K79" i="72"/>
  <c r="D79" i="30"/>
  <c r="K69" i="72"/>
  <c r="K29" i="30"/>
  <c r="C112" i="30"/>
  <c r="E124" i="72"/>
  <c r="K9" i="30"/>
  <c r="D125" i="30"/>
  <c r="C37" i="30"/>
  <c r="E99" i="72"/>
  <c r="J31" i="30"/>
  <c r="K122" i="30"/>
  <c r="D47" i="30"/>
  <c r="K66" i="30"/>
  <c r="E27" i="72"/>
  <c r="C68" i="30"/>
  <c r="K46" i="30"/>
  <c r="K69" i="30"/>
  <c r="K118" i="72"/>
  <c r="K24" i="30"/>
  <c r="C113" i="30"/>
  <c r="D132" i="72"/>
  <c r="K77" i="72"/>
  <c r="K132" i="30"/>
  <c r="K114" i="72"/>
  <c r="E105" i="72"/>
  <c r="K130" i="30"/>
  <c r="K27" i="72"/>
  <c r="D137" i="30"/>
  <c r="L27" i="30"/>
  <c r="E58" i="72"/>
  <c r="C47" i="30"/>
  <c r="J73" i="30"/>
  <c r="B6" i="83"/>
  <c r="K93" i="72"/>
  <c r="J9" i="30"/>
  <c r="B5" i="70"/>
  <c r="K64" i="72"/>
  <c r="L106" i="30"/>
  <c r="D94" i="30"/>
  <c r="J114" i="30"/>
  <c r="C109" i="72"/>
  <c r="B7" i="70"/>
  <c r="D73" i="30"/>
  <c r="K30" i="30"/>
  <c r="K107" i="72"/>
  <c r="B23" i="90"/>
  <c r="A6" i="90"/>
  <c r="C129" i="30"/>
  <c r="K62" i="30"/>
  <c r="D85" i="72"/>
  <c r="K75" i="72"/>
  <c r="L2" i="30"/>
  <c r="L6" i="30"/>
  <c r="L7" i="30"/>
  <c r="C5" i="88"/>
  <c r="E48" i="72"/>
  <c r="J22" i="30"/>
  <c r="J23" i="30"/>
  <c r="J61" i="30"/>
  <c r="K26" i="30"/>
  <c r="B10" i="70"/>
  <c r="C101" i="72"/>
  <c r="C46" i="72"/>
  <c r="C55" i="30"/>
  <c r="L56" i="30"/>
  <c r="D37" i="72"/>
  <c r="C28" i="72"/>
  <c r="E7" i="72"/>
  <c r="L52" i="30"/>
  <c r="K143" i="30"/>
  <c r="E26" i="72"/>
  <c r="C35" i="72"/>
  <c r="J47" i="30"/>
  <c r="C47" i="72"/>
  <c r="L10" i="30"/>
  <c r="D67" i="30"/>
  <c r="E3" i="72"/>
  <c r="J48" i="30"/>
  <c r="E150" i="72"/>
  <c r="K67" i="72"/>
  <c r="D118" i="30"/>
  <c r="L111" i="30"/>
  <c r="C40" i="72"/>
  <c r="C134" i="72"/>
  <c r="D23" i="72"/>
  <c r="K50" i="72"/>
  <c r="L151" i="30"/>
  <c r="D96" i="72"/>
  <c r="C69" i="30"/>
  <c r="J60" i="30"/>
  <c r="L110" i="30"/>
  <c r="D10" i="30"/>
  <c r="C22" i="72"/>
  <c r="D46" i="30"/>
  <c r="E93" i="72"/>
  <c r="E89" i="72"/>
  <c r="C27" i="30"/>
  <c r="J101" i="30"/>
  <c r="J108" i="30"/>
  <c r="K18" i="72"/>
  <c r="C120" i="72"/>
  <c r="K119" i="72"/>
  <c r="B7" i="90"/>
  <c r="D27" i="72"/>
  <c r="D150" i="30"/>
  <c r="D8" i="72"/>
  <c r="L87" i="30"/>
  <c r="D68" i="30"/>
  <c r="D121" i="72"/>
  <c r="C50" i="72"/>
  <c r="B12" i="90"/>
  <c r="E12" i="72"/>
  <c r="D8" i="30"/>
  <c r="C26" i="72"/>
  <c r="D30" i="72"/>
  <c r="J117" i="30"/>
  <c r="K119" i="30"/>
  <c r="E38" i="72"/>
  <c r="E52" i="72"/>
  <c r="K30" i="72"/>
  <c r="L67" i="30"/>
  <c r="C146" i="30"/>
  <c r="J134" i="30"/>
  <c r="C80" i="72"/>
  <c r="D133" i="72"/>
  <c r="C55" i="72"/>
  <c r="J110" i="30"/>
  <c r="F8" i="83"/>
  <c r="L43" i="30"/>
  <c r="C42" i="30"/>
  <c r="C43" i="30"/>
  <c r="K8" i="30"/>
  <c r="D83" i="30"/>
  <c r="E141" i="72"/>
  <c r="E128" i="72"/>
  <c r="D56" i="30"/>
  <c r="D137" i="72"/>
  <c r="K96" i="72"/>
  <c r="D13" i="30"/>
  <c r="L90" i="30"/>
  <c r="D24" i="72"/>
  <c r="J120" i="30"/>
  <c r="B24" i="90"/>
  <c r="K136" i="72"/>
  <c r="C101" i="30"/>
  <c r="L121" i="30"/>
  <c r="F3" i="83"/>
  <c r="E55" i="72"/>
  <c r="D126" i="30"/>
  <c r="K41" i="30"/>
  <c r="C116" i="72"/>
  <c r="L66" i="30"/>
  <c r="A23" i="90"/>
  <c r="D65" i="30"/>
  <c r="D35" i="72"/>
  <c r="K84" i="30"/>
  <c r="C119" i="30"/>
  <c r="D17" i="30"/>
  <c r="D71" i="72"/>
  <c r="J46" i="30"/>
  <c r="D116" i="72"/>
  <c r="D89" i="30"/>
  <c r="L78" i="30"/>
  <c r="C67" i="72"/>
  <c r="C137" i="30"/>
  <c r="D125" i="72"/>
  <c r="K25" i="30"/>
  <c r="L37" i="30"/>
  <c r="C76" i="30"/>
  <c r="C61" i="72"/>
  <c r="K80" i="30"/>
  <c r="K53" i="30"/>
  <c r="J90" i="30"/>
  <c r="K51" i="30"/>
  <c r="L98" i="30"/>
  <c r="B7" i="83"/>
  <c r="C58" i="30"/>
  <c r="K45" i="30"/>
  <c r="L127" i="30"/>
  <c r="C65" i="30"/>
  <c r="L108" i="30"/>
  <c r="J102" i="30"/>
  <c r="K58" i="30"/>
  <c r="J11" i="30"/>
  <c r="D33" i="30"/>
  <c r="D142" i="72"/>
  <c r="E145" i="72"/>
  <c r="A12" i="90"/>
  <c r="E32" i="72"/>
  <c r="K103" i="30"/>
  <c r="D113" i="30"/>
  <c r="J150" i="30"/>
  <c r="E4" i="72"/>
  <c r="E47" i="72"/>
  <c r="E24" i="72"/>
  <c r="E149" i="72"/>
  <c r="D113" i="72"/>
  <c r="J12" i="30"/>
  <c r="D55" i="72"/>
  <c r="C59" i="72"/>
  <c r="D87" i="30"/>
  <c r="K37" i="30"/>
  <c r="D77" i="72"/>
  <c r="C33" i="30"/>
  <c r="C135" i="30"/>
  <c r="K13" i="72"/>
  <c r="C75" i="72"/>
  <c r="L122" i="30"/>
  <c r="K102" i="72"/>
  <c r="A11" i="90"/>
  <c r="C83" i="30"/>
  <c r="J18" i="30"/>
  <c r="C114" i="72"/>
  <c r="C71" i="30"/>
  <c r="C66" i="72"/>
  <c r="E133" i="72"/>
  <c r="D21" i="72"/>
  <c r="E46" i="72"/>
  <c r="K139" i="72"/>
  <c r="L41" i="30"/>
  <c r="J13" i="30"/>
  <c r="C92" i="30"/>
  <c r="C36" i="30"/>
  <c r="K51" i="72"/>
  <c r="E36" i="72"/>
  <c r="C4" i="72"/>
  <c r="E76" i="72"/>
  <c r="K18" i="30"/>
  <c r="K126" i="72"/>
  <c r="C125" i="72"/>
  <c r="K109" i="72"/>
  <c r="J139" i="30"/>
  <c r="C127" i="72"/>
  <c r="E97" i="72"/>
  <c r="C77" i="30"/>
  <c r="D62" i="72"/>
  <c r="L60" i="30"/>
  <c r="K151" i="30"/>
  <c r="J100" i="30"/>
  <c r="J39" i="30"/>
  <c r="E72" i="72"/>
  <c r="K92" i="72"/>
  <c r="A26" i="90"/>
  <c r="C57" i="72"/>
  <c r="D130" i="72"/>
  <c r="C82" i="72"/>
  <c r="K137" i="30"/>
  <c r="C151" i="30"/>
  <c r="K110" i="72"/>
  <c r="J146" i="30"/>
  <c r="C34" i="72"/>
  <c r="D47" i="72"/>
  <c r="D17" i="72"/>
  <c r="E41" i="72"/>
  <c r="E21" i="72"/>
  <c r="K98" i="30"/>
  <c r="J148" i="30"/>
  <c r="K87" i="30"/>
  <c r="D97" i="72"/>
  <c r="L13" i="30"/>
  <c r="K131" i="30"/>
  <c r="L44" i="30"/>
  <c r="B13" i="70"/>
  <c r="C145" i="30"/>
  <c r="J51" i="30"/>
  <c r="K133" i="30"/>
  <c r="E30" i="72"/>
  <c r="K121" i="30"/>
  <c r="J44" i="30"/>
  <c r="D11" i="72"/>
  <c r="J57" i="30"/>
  <c r="C16" i="72"/>
  <c r="D86" i="30"/>
  <c r="C102" i="72"/>
  <c r="E132" i="72"/>
  <c r="K132" i="72"/>
  <c r="K112" i="72"/>
  <c r="K120" i="30"/>
  <c r="C147" i="72"/>
  <c r="C124" i="30"/>
  <c r="D4" i="72"/>
  <c r="K44" i="72"/>
  <c r="D93" i="30"/>
  <c r="K17" i="72"/>
  <c r="K5" i="72"/>
  <c r="D131" i="72"/>
  <c r="D43" i="72"/>
  <c r="D149" i="72"/>
  <c r="D143" i="72"/>
  <c r="E134" i="72"/>
  <c r="D63" i="30"/>
  <c r="L96" i="30"/>
  <c r="C96" i="72"/>
  <c r="B14" i="70"/>
  <c r="D110" i="72"/>
  <c r="A27" i="90"/>
  <c r="K61" i="30"/>
  <c r="K10" i="30"/>
  <c r="K56" i="30"/>
  <c r="E13" i="72"/>
  <c r="D126" i="72"/>
  <c r="C63" i="72"/>
  <c r="D59" i="72"/>
  <c r="J24" i="30"/>
  <c r="E40" i="72"/>
  <c r="D151" i="30"/>
  <c r="L116" i="30"/>
  <c r="K127" i="72"/>
  <c r="D103" i="72"/>
  <c r="K60" i="30"/>
  <c r="K63" i="30"/>
  <c r="D132" i="30"/>
  <c r="K123" i="30"/>
  <c r="C31" i="72"/>
  <c r="C44" i="72"/>
  <c r="K49" i="30"/>
  <c r="C131" i="30"/>
  <c r="E81" i="72"/>
  <c r="J107" i="30"/>
  <c r="E113" i="72"/>
  <c r="C111" i="72"/>
  <c r="C15" i="30"/>
  <c r="D154" i="72"/>
  <c r="J127" i="30"/>
  <c r="D112" i="72"/>
  <c r="C8" i="30"/>
  <c r="B8" i="83"/>
  <c r="D61" i="30"/>
  <c r="L24" i="30"/>
  <c r="L112" i="30"/>
  <c r="K68" i="30"/>
  <c r="K74" i="30"/>
  <c r="C130" i="72"/>
  <c r="C17" i="30"/>
  <c r="E75" i="72"/>
  <c r="D105" i="30"/>
  <c r="K87" i="72"/>
  <c r="L36" i="30"/>
  <c r="K86" i="72"/>
  <c r="K12" i="72"/>
  <c r="D102" i="30"/>
  <c r="C97" i="30"/>
  <c r="J54" i="30"/>
  <c r="C140" i="72"/>
  <c r="C38" i="72"/>
  <c r="K53" i="72"/>
  <c r="C73" i="30"/>
  <c r="C66" i="30"/>
  <c r="B4" i="70"/>
  <c r="K90" i="72"/>
  <c r="D54" i="72"/>
  <c r="E120" i="72"/>
  <c r="L89" i="30"/>
  <c r="K131" i="72"/>
  <c r="D92" i="72"/>
  <c r="K106" i="72"/>
  <c r="D105" i="72"/>
  <c r="D45" i="72"/>
  <c r="D60" i="72"/>
  <c r="C3" i="72"/>
  <c r="D85" i="30"/>
  <c r="C110" i="30"/>
  <c r="L126" i="30"/>
  <c r="D111" i="72"/>
  <c r="C105" i="30"/>
  <c r="K32" i="30"/>
  <c r="C10" i="30"/>
  <c r="B10" i="83"/>
  <c r="K97" i="72"/>
  <c r="K11" i="30"/>
  <c r="E17" i="72"/>
  <c r="C64" i="30"/>
  <c r="E101" i="72"/>
  <c r="L135" i="30"/>
  <c r="E144" i="72"/>
  <c r="K146" i="72"/>
  <c r="K114" i="30"/>
  <c r="D9" i="72"/>
  <c r="D74" i="72"/>
  <c r="C133" i="72"/>
  <c r="J104" i="30"/>
  <c r="K85" i="30"/>
  <c r="E118" i="72"/>
  <c r="K59" i="72"/>
  <c r="L133" i="30"/>
  <c r="C98" i="72"/>
  <c r="D148" i="72"/>
  <c r="J97" i="30"/>
  <c r="D59" i="30"/>
  <c r="D95" i="30"/>
  <c r="L99" i="30"/>
  <c r="K81" i="30"/>
  <c r="K86" i="30"/>
  <c r="L29" i="30"/>
  <c r="L54" i="30"/>
  <c r="L83" i="30"/>
  <c r="C133" i="30"/>
  <c r="L19" i="30"/>
  <c r="L20" i="30"/>
  <c r="B18" i="90"/>
  <c r="K125" i="30"/>
  <c r="K108" i="72"/>
  <c r="E64" i="72"/>
  <c r="K83" i="30"/>
  <c r="K37" i="72"/>
  <c r="K99" i="30"/>
  <c r="C69" i="72"/>
  <c r="E126" i="72"/>
  <c r="L16" i="30"/>
  <c r="L38" i="30"/>
  <c r="J71" i="30"/>
  <c r="A19" i="90"/>
  <c r="E73" i="72"/>
  <c r="E80" i="72"/>
  <c r="K73" i="30"/>
  <c r="J87" i="30"/>
  <c r="C68" i="72"/>
  <c r="K153" i="72"/>
  <c r="J112" i="30"/>
  <c r="K100" i="30"/>
  <c r="B15" i="70"/>
  <c r="L18" i="30"/>
  <c r="L65" i="30"/>
  <c r="K147" i="72"/>
  <c r="D106" i="72"/>
  <c r="C34" i="30"/>
  <c r="K145" i="72"/>
  <c r="K99" i="72"/>
  <c r="J26" i="30"/>
  <c r="L70" i="30"/>
  <c r="D108" i="72"/>
  <c r="L25" i="30"/>
  <c r="K92" i="30"/>
  <c r="J142" i="30"/>
  <c r="J85" i="30"/>
  <c r="D103" i="30"/>
  <c r="E43" i="72"/>
  <c r="L8" i="30"/>
  <c r="K13" i="30"/>
  <c r="C57" i="30"/>
  <c r="D148" i="30"/>
  <c r="E56" i="72"/>
  <c r="K140" i="30"/>
  <c r="E54" i="72"/>
  <c r="D150" i="72"/>
  <c r="K141" i="30"/>
  <c r="K149" i="72"/>
  <c r="K112" i="30"/>
  <c r="C16" i="30"/>
  <c r="J40" i="30"/>
  <c r="A9" i="90"/>
  <c r="D88" i="72"/>
  <c r="C24" i="72"/>
  <c r="K56" i="72"/>
  <c r="E78" i="72"/>
  <c r="K71" i="72"/>
  <c r="D68" i="72"/>
  <c r="K52" i="30"/>
  <c r="C104" i="30"/>
  <c r="E50" i="72"/>
  <c r="K32" i="72"/>
  <c r="D116" i="30"/>
  <c r="D139" i="30"/>
  <c r="L100" i="30"/>
  <c r="B4" i="83"/>
  <c r="K49" i="72"/>
  <c r="K105" i="72"/>
  <c r="B18" i="70"/>
  <c r="C32" i="30"/>
  <c r="C142" i="72"/>
  <c r="E5" i="72"/>
  <c r="E111" i="72"/>
  <c r="L33" i="30"/>
  <c r="F10" i="83"/>
  <c r="D92" i="30"/>
  <c r="K17" i="30"/>
  <c r="D61" i="72"/>
  <c r="L140" i="30"/>
  <c r="F11" i="83"/>
  <c r="K19" i="72"/>
  <c r="E136" i="72"/>
  <c r="E88" i="72"/>
  <c r="D25" i="72"/>
  <c r="E83" i="72"/>
  <c r="E45" i="72"/>
  <c r="L84" i="30"/>
  <c r="K40" i="72"/>
  <c r="D94" i="72"/>
  <c r="D98" i="30"/>
  <c r="K31" i="72"/>
  <c r="D84" i="72"/>
  <c r="D131" i="30"/>
  <c r="J49" i="30"/>
  <c r="C115" i="72"/>
  <c r="D53" i="30"/>
  <c r="D93" i="72"/>
  <c r="D145" i="30"/>
  <c r="J99" i="30"/>
  <c r="K143" i="72"/>
  <c r="D117" i="72"/>
  <c r="D29" i="30"/>
  <c r="D14" i="72"/>
  <c r="C43" i="72"/>
  <c r="K61" i="72"/>
  <c r="C10" i="72"/>
  <c r="C139" i="72"/>
  <c r="C106" i="30"/>
  <c r="C19" i="72"/>
  <c r="E77" i="72"/>
  <c r="K117" i="72"/>
  <c r="D79" i="72"/>
  <c r="K78" i="72"/>
  <c r="K20" i="30"/>
  <c r="D34" i="30"/>
  <c r="J88" i="30"/>
  <c r="K144" i="72"/>
  <c r="A21" i="90"/>
  <c r="C45" i="30"/>
  <c r="K90" i="30"/>
  <c r="L129" i="30"/>
  <c r="K142" i="72"/>
  <c r="J74" i="30"/>
  <c r="K47" i="72"/>
  <c r="C117" i="72"/>
  <c r="C32" i="72"/>
  <c r="K50" i="30"/>
  <c r="K147" i="30"/>
  <c r="L142" i="30"/>
  <c r="D141" i="72"/>
  <c r="K136" i="30"/>
  <c r="K127" i="30"/>
  <c r="L77" i="30"/>
  <c r="E139" i="72"/>
  <c r="C129" i="72"/>
  <c r="C148" i="72"/>
  <c r="J17" i="30"/>
  <c r="E121" i="72"/>
  <c r="D123" i="72"/>
  <c r="L137" i="30"/>
  <c r="D49" i="72"/>
  <c r="A22" i="90"/>
  <c r="L23" i="30"/>
  <c r="C87" i="72"/>
  <c r="K36" i="30"/>
  <c r="D38" i="72"/>
  <c r="E39" i="72"/>
  <c r="D13" i="72"/>
  <c r="D109" i="30"/>
  <c r="L58" i="30"/>
  <c r="K93" i="30"/>
  <c r="C126" i="72"/>
  <c r="E152" i="72"/>
  <c r="E74" i="72"/>
  <c r="C151" i="72"/>
  <c r="D32" i="30"/>
  <c r="C35" i="30"/>
  <c r="E112" i="72"/>
  <c r="K98" i="72"/>
  <c r="D115" i="72"/>
  <c r="K104" i="72"/>
  <c r="K113" i="72"/>
  <c r="K74" i="72"/>
  <c r="E20" i="72"/>
  <c r="K38" i="30"/>
  <c r="K116" i="30"/>
  <c r="E63" i="72"/>
  <c r="D41" i="72"/>
  <c r="C52" i="72"/>
  <c r="D140" i="72"/>
  <c r="J45" i="30"/>
  <c r="E51" i="72"/>
  <c r="C36" i="72"/>
  <c r="C107" i="72"/>
  <c r="C81" i="72"/>
  <c r="D114" i="72"/>
  <c r="A10" i="90"/>
  <c r="C7" i="72"/>
  <c r="K72" i="30"/>
  <c r="D119" i="30"/>
  <c r="K148" i="72"/>
  <c r="D16" i="72"/>
  <c r="L28" i="30"/>
  <c r="K8" i="72"/>
  <c r="K45" i="72"/>
  <c r="J50" i="30"/>
  <c r="J81" i="30"/>
  <c r="D42" i="72"/>
  <c r="L119" i="30"/>
  <c r="E91" i="72"/>
  <c r="K55" i="72"/>
  <c r="D66" i="72"/>
  <c r="J113" i="30"/>
  <c r="C112" i="72"/>
  <c r="C25" i="72"/>
  <c r="D26" i="72"/>
  <c r="C15" i="72"/>
  <c r="K138" i="72"/>
  <c r="C119" i="72"/>
  <c r="K14" i="72" a="1"/>
  <c r="C11" i="88"/>
  <c r="K14" i="72"/>
  <c r="G4" i="70" a="1"/>
  <c r="G4" i="70"/>
  <c r="H4" i="70"/>
  <c r="B2" i="83"/>
  <c r="D2" i="86"/>
  <c r="G6" i="70" a="1"/>
  <c r="G6" i="70"/>
  <c r="H6" i="70"/>
  <c r="G14" i="70" a="1"/>
  <c r="G14" i="70"/>
  <c r="H14" i="70"/>
  <c r="G16" i="70" a="1"/>
  <c r="G16" i="70"/>
  <c r="C16" i="70" a="1"/>
  <c r="C16" i="70"/>
  <c r="G11" i="70" a="1"/>
  <c r="G11" i="70"/>
  <c r="H11" i="70"/>
  <c r="G17" i="70" a="1"/>
  <c r="G17" i="70"/>
  <c r="H17" i="70"/>
  <c r="G18" i="70" a="1"/>
  <c r="G18" i="70"/>
  <c r="C18" i="70" a="1"/>
  <c r="C18" i="70"/>
  <c r="G3" i="70" a="1"/>
  <c r="G3" i="70"/>
  <c r="C3" i="70" a="1"/>
  <c r="C3" i="70"/>
  <c r="G10" i="70" a="1"/>
  <c r="G10" i="70"/>
  <c r="H10" i="70"/>
  <c r="C15" i="88"/>
  <c r="C13" i="88"/>
  <c r="B22" i="88"/>
  <c r="J26" i="86"/>
  <c r="G5" i="70" a="1"/>
  <c r="G5" i="70"/>
  <c r="H5" i="70"/>
  <c r="G2" i="70" a="1"/>
  <c r="G2" i="70"/>
  <c r="H2" i="70"/>
  <c r="G19" i="70" a="1"/>
  <c r="G19" i="70"/>
  <c r="H19" i="70"/>
  <c r="G8" i="70" a="1"/>
  <c r="G8" i="70"/>
  <c r="H8" i="70"/>
  <c r="G7" i="70" a="1"/>
  <c r="G7" i="70"/>
  <c r="C7" i="70" a="1"/>
  <c r="C7" i="70"/>
  <c r="C14" i="88"/>
  <c r="J23" i="86"/>
  <c r="C22" i="88"/>
  <c r="G12" i="70" a="1"/>
  <c r="G12" i="70"/>
  <c r="H12" i="70"/>
  <c r="G15" i="70" a="1"/>
  <c r="G15" i="70"/>
  <c r="H15" i="70"/>
  <c r="G13" i="70" a="1"/>
  <c r="G13" i="70"/>
  <c r="C13" i="70" a="1"/>
  <c r="C13" i="70"/>
  <c r="C24" i="88"/>
  <c r="J28" i="86"/>
  <c r="B26" i="88"/>
  <c r="C20" i="88"/>
  <c r="B25" i="88"/>
  <c r="C12" i="88"/>
  <c r="B27" i="88"/>
  <c r="J27" i="86"/>
  <c r="G9" i="70" a="1"/>
  <c r="G9" i="70"/>
  <c r="H9" i="70"/>
  <c r="B24" i="88"/>
  <c r="J29" i="86"/>
  <c r="C18" i="88"/>
  <c r="C26" i="88"/>
  <c r="C17" i="88"/>
  <c r="C16" i="88"/>
  <c r="C19" i="70" a="1"/>
  <c r="C19" i="70"/>
  <c r="B23" i="88"/>
  <c r="C25" i="88"/>
  <c r="C21" i="88"/>
  <c r="B28" i="88"/>
  <c r="C27" i="88"/>
  <c r="C28" i="88"/>
  <c r="C23" i="88"/>
  <c r="J24" i="86"/>
  <c r="J25" i="86"/>
  <c r="C19" i="88"/>
  <c r="C17" i="70" a="1"/>
  <c r="C17" i="70"/>
  <c r="B21" i="88"/>
  <c r="J22" i="86"/>
  <c r="J17" i="86"/>
  <c r="B16" i="88"/>
  <c r="C8" i="70" a="1"/>
  <c r="C8" i="70"/>
  <c r="C9" i="70" a="1"/>
  <c r="C9" i="70"/>
  <c r="B12" i="88"/>
  <c r="J13" i="86"/>
  <c r="C15" i="70" a="1"/>
  <c r="C15" i="70"/>
  <c r="C6" i="70" a="1"/>
  <c r="C6" i="70"/>
  <c r="C14" i="70" a="1"/>
  <c r="C14" i="70"/>
  <c r="C11" i="70" a="1"/>
  <c r="C11" i="70"/>
  <c r="H3" i="70"/>
  <c r="H16" i="70"/>
  <c r="C5" i="70" a="1"/>
  <c r="C5" i="70"/>
  <c r="C10" i="70" a="1"/>
  <c r="C10" i="70"/>
  <c r="H18" i="70"/>
  <c r="H7" i="70"/>
  <c r="C4" i="70" a="1"/>
  <c r="C4" i="70"/>
  <c r="C12" i="70" a="1"/>
  <c r="C12" i="70"/>
  <c r="H13" i="70"/>
  <c r="C2" i="70" a="1"/>
  <c r="B20" i="88"/>
  <c r="J21" i="86"/>
  <c r="B19" i="88"/>
  <c r="J20" i="86"/>
  <c r="B18" i="88"/>
  <c r="J19" i="86"/>
  <c r="J18" i="86"/>
  <c r="B17" i="88"/>
  <c r="J16" i="86"/>
  <c r="B15" i="88"/>
  <c r="B14" i="88"/>
  <c r="J15" i="86"/>
  <c r="J14" i="86"/>
  <c r="B13" i="88"/>
  <c r="C2" i="70"/>
  <c r="G6" i="86"/>
  <c r="D2" i="83"/>
  <c r="B11" i="88"/>
  <c r="J12" i="86"/>
  <c r="B9" i="88"/>
  <c r="G7" i="86"/>
  <c r="F2" i="8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tc={2C642192-7C15-4EF4-BCDC-3178C0F5DF80}</author>
    <author>tc={F6EEB50B-FA65-41D7-A9D9-33E6F8D65E30}</author>
  </authors>
  <commentList>
    <comment ref="H49" authorId="0" shapeId="0" xr:uid="{2C642192-7C15-4EF4-BCDC-3178C0F5DF80}">
      <text>
        <t>[Threaded comment]
Your version of Excel allows you to read this threaded comment; however, any edits to it will get removed if the file is opened in a newer version of Excel. Learn more: https://go.microsoft.com/fwlink/?linkid=870924
Comment:
    @Pratte, Dominic @Fortier, Kevin Je dirais que c’est contrôle doit être documenté comme contrôle en place.</t>
      </text>
    </comment>
    <comment ref="H54" authorId="1" shapeId="0" xr:uid="{F6EEB50B-FA65-41D7-A9D9-33E6F8D65E30}">
      <text>
        <t xml:space="preserve">[Threaded comment]
Your version of Excel allows you to read this threaded comment; however, any edits to it will get removed if the file is opened in a newer version of Excel. Learn more: https://go.microsoft.com/fwlink/?linkid=870924
Comment:
    @Fortier, Kevin @Pratte, Dominic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tc={3C7B3C63-84F5-4DB6-B482-AB651199E838}</author>
    <author>tc={050DB87E-B197-47C9-B2AD-DC56D27F8FC7}</author>
    <author>tc={B1A85EF0-0A90-4CFC-ACA2-3CF9216BD569}</author>
    <author>tc={B5CC409D-984E-4ACF-B18F-6C2C22DA5599}</author>
    <author>tc={E86514A9-7BCC-4685-B0AF-08D9DF7B2F85}</author>
    <author>tc={59DB253B-4909-4EB8-9737-D22A06121975}</author>
  </authors>
  <commentList>
    <comment ref="K46" authorId="0" shapeId="0" xr:uid="{3C7B3C63-84F5-4DB6-B482-AB651199E838}">
      <text>
        <t>[Threaded comment]
Your version of Excel allows you to read this threaded comment; however, any edits to it will get removed if the file is opened in a newer version of Excel. Learn more: https://go.microsoft.com/fwlink/?linkid=870924
Comment:
    Jame a émis ce commentaire 
Devrait être due dil</t>
      </text>
    </comment>
    <comment ref="K50" authorId="1" shapeId="0" xr:uid="{050DB87E-B197-47C9-B2AD-DC56D27F8FC7}">
      <text>
        <t xml:space="preserve">[Threaded comment]
Your version of Excel allows you to read this threaded comment; however, any edits to it will get removed if the file is opened in a newer version of Excel. Learn more: https://go.microsoft.com/fwlink/?linkid=870924
Comment:
    Devrait être  Access Mgmt &amp; SoD
Reply:
    </t>
      </text>
    </comment>
    <comment ref="K54" authorId="2" shapeId="0" xr:uid="{B1A85EF0-0A90-4CFC-ACA2-3CF9216BD569}">
      <text>
        <t>[Threaded comment]
Your version of Excel allows you to read this threaded comment; however, any edits to it will get removed if the file is opened in a newer version of Excel. Learn more: https://go.microsoft.com/fwlink/?linkid=870924
Comment:
    Devrait être  Access Mgmt &amp; SoD</t>
      </text>
    </comment>
    <comment ref="K63" authorId="3" shapeId="0" xr:uid="{B5CC409D-984E-4ACF-B18F-6C2C22DA5599}">
      <text>
        <t>[Threaded comment]
Your version of Excel allows you to read this threaded comment; however, any edits to it will get removed if the file is opened in a newer version of Excel. Learn more: https://go.microsoft.com/fwlink/?linkid=870924
Comment:
    Devrait être  Access Mgmt &amp; SoD</t>
      </text>
    </comment>
    <comment ref="K65" authorId="4" shapeId="0" xr:uid="{E86514A9-7BCC-4685-B0AF-08D9DF7B2F85}">
      <text>
        <t>[Threaded comment]
Your version of Excel allows you to read this threaded comment; however, any edits to it will get removed if the file is opened in a newer version of Excel. Learn more: https://go.microsoft.com/fwlink/?linkid=870924
Comment:
    Devrait être  Access Mgmt &amp; SoD</t>
      </text>
    </comment>
    <comment ref="K100" authorId="5" shapeId="0" xr:uid="{59DB253B-4909-4EB8-9737-D22A06121975}">
      <text>
        <t>[Threaded comment]
Your version of Excel allows you to read this threaded comment; however, any edits to it will get removed if the file is opened in a newer version of Excel. Learn more: https://go.microsoft.com/fwlink/?linkid=870924
Comment:
    Devrait être Vulnerability Mgmt</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AB8D846-B448-49AA-8C1C-9E47DCB0F9DF}" keepAlive="1" name="Query - CIS Controls" description="Connection to the 'CIS Controls' query in the workbook." type="5" refreshedVersion="8" background="1" saveData="1">
    <dbPr connection="Provider=Microsoft.Mashup.OleDb.1;Data Source=$Workbook$;Location=&quot;CIS Controls&quot;;Extended Properties=&quot;&quot;" command="SELECT * FROM [CIS Controls]"/>
  </connection>
  <connection id="2" xr16:uid="{59411BB0-F8AC-499F-B7E7-BCEE9BE625D7}" keepAlive="1" name="Query - CIS Safeguards" description="Connection to the 'CIS Safeguards' query in the workbook." type="5" refreshedVersion="8" background="1" saveData="1">
    <dbPr connection="Provider=Microsoft.Mashup.OleDb.1;Data Source=$Workbook$;Location=&quot;CIS Safeguards&quot;;Extended Properties=&quot;&quot;" command="SELECT * FROM [CIS Safeguards]"/>
  </connection>
  <connection id="3" xr16:uid="{C1DFF0BF-FFB6-489B-9EDB-10BB68A2B26B}" keepAlive="1" name="Query - Risk Assessment QA" description="Connection to the 'Risk Assessment QA' query in the workbook." type="5" refreshedVersion="8" background="1" saveData="1">
    <dbPr connection="Provider=Microsoft.Mashup.OleDb.1;Data Source=$Workbook$;Location=&quot;Risk Assessment QA&quot;;Extended Properties=&quot;&quot;" command="SELECT * FROM [Risk Assessment QA]"/>
  </connection>
  <connection id="4" xr16:uid="{2F270CEB-8395-4DE5-9902-857C40BEA791}" keepAlive="1" name="Query - Risques TDSI" description="Connection to the 'Risques TDSI' query in the workbook." type="5" refreshedVersion="8" background="1" saveData="1">
    <dbPr connection="Provider=Microsoft.Mashup.OleDb.1;Data Source=$Workbook$;Location=&quot;Risques TDSI&quot;;Extended Properties=&quot;&quot;" command="SELECT * FROM [Risques TDSI]"/>
  </connection>
  <connection id="5" xr16:uid="{36E873A4-8769-4D16-ACE0-C333D2704788}" keepAlive="1" name="REF - Taxo Cause" type="5" refreshedVersion="8" saveData="1">
    <dbPr connection="Provider=MSOLAP.8;Integrated Security=ClaimsToken;Persist Security Info=True;Initial Catalog=sobe_wowvirtualserver-54cb142e-aedf-4ce2-b5b3-47489ea62d19;Data Source=pbiazure://api.powerbi.com;MDX Compatibility=1;Safety Options=2;MDX Missing Member Mode=Error;Identity Provider=https://login.microsoftonline.com/common, https://analysis.windows.net/powerbi/api, 929d0ec0-7a41-4b1e-bc7c-b754a28bddcc;Update Isolation Level=2" command="DEFINE_x000d__x000a__x0009_VAR __DS0Core = _x000d__x000a__x0009__x0009_SUMMARIZE(_x000d__x000a__x0009__x0009__x0009_'CC_TaxonomieCauses2LDD',_x000d__x000a__x0009__x0009__x0009_'CC_TaxonomieCauses2LDD'[Titre],_x000d__x000a__x0009__x0009__x0009_'CC_TaxonomieCauses2LDD'[Causes_N2_FR],_x000d__x000a__x0009__x0009__x0009_'CC_TaxonomieCauses2LDD'[Causes_N3_FR],_x000d__x000a__x0009__x0009__x0009_'CC_TaxonomieCauses2LDD'[Causes_N4_FR],_x000d__x000a__x0009__x0009__x0009_'CC_TaxonomieCauses2LDD'[Lien causes SI],_x000d__x000a__x0009__x0009__x0009_'CC_TaxonomieCauses2LDD'[ID],_x000d__x000a__x0009__x0009__x0009_'CC_TaxonomieCauses2LDD'[Causes_N2_EN],_x000d__x000a__x0009__x0009__x0009_'CC_TaxonomieCauses2LDD'[Cause_N3_EN],_x000d__x000a__x0009__x0009__x0009_'CC_TaxonomieCauses2LDD'[Cause_N4_EN],_x000d__x000a__x0009__x0009__x0009_'CC_TaxonomieCauses2LDD'[Description EN],_x000d__x000a__x0009__x0009__x0009_'CC_TaxonomieCauses2LDD'[Description FR]_x000d__x000a__x0009__x0009_)_x000d__x000a__x000d__x000a__x0009_VAR __DS0BodyLimited = _x000d__x000a__x0009__x0009_TOPN(_x000d__x000a__x0009__x0009__x0009_500000,_x000d__x000a__x0009__x0009__x0009___DS0Core,_x000d__x000a__x0009__x0009__x0009_'CC_TaxonomieCauses2LDD'[Titre],_x000d__x000a__x0009__x0009__x0009_1,_x000d__x000a__x0009__x0009__x0009_'CC_TaxonomieCauses2LDD'[Causes_N2_FR],_x000d__x000a__x0009__x0009__x0009_1,_x000d__x000a__x0009__x0009__x0009_'CC_TaxonomieCauses2LDD'[Causes_N3_FR],_x000d__x000a__x0009__x0009__x0009_1,_x000d__x000a__x0009__x0009__x0009_'CC_TaxonomieCauses2LDD'[Causes_N4_FR],_x000d__x000a__x0009__x0009__x0009_1,_x000d__x000a__x0009__x0009__x0009_'CC_TaxonomieCauses2LDD'[Lien causes SI],_x000d__x000a__x0009__x0009__x0009_1,_x000d__x000a__x0009__x0009__x0009_'CC_TaxonomieCauses2LDD'[ID],_x000d__x000a__x0009__x0009__x0009_1,_x000d__x000a__x0009__x0009__x0009_'CC_TaxonomieCauses2LDD'[Causes_N2_EN],_x000d__x000a__x0009__x0009__x0009_1,_x000d__x000a__x0009__x0009__x0009_'CC_TaxonomieCauses2LDD'[Cause_N3_EN],_x000d__x000a__x0009__x0009__x0009_1,_x000d__x000a__x0009__x0009__x0009_'CC_TaxonomieCauses2LDD'[Cause_N4_EN],_x000d__x000a__x0009__x0009__x0009_1,_x000d__x000a__x0009__x0009__x0009_'CC_TaxonomieCauses2LDD'[Description EN],_x000d__x000a__x0009__x0009__x0009_1,_x000d__x000a__x0009__x0009__x0009_'CC_TaxonomieCauses2LDD'[Description FR],_x000d__x000a__x0009__x0009__x0009_1_x000d__x000a__x0009__x0009_)_x000d__x000a__x000d__x000a_EVALUATE_x000d__x000a__x0009___DS0BodyLimited_x000d__x000a__x000d__x000a_ORDER BY_x000d__x000a__x0009_'CC_TaxonomieCauses2LDD'[Titre],_x000d__x000a__x0009_'CC_TaxonomieCauses2LDD'[Causes_N2_FR],_x000d__x000a__x0009_'CC_TaxonomieCauses2LDD'[Causes_N3_FR],_x000d__x000a__x0009_'CC_TaxonomieCauses2LDD'[Causes_N4_FR],_x000d__x000a__x0009_'CC_TaxonomieCauses2LDD'[Lien causes SI],_x000d__x000a__x0009_'CC_TaxonomieCauses2LDD'[ID],_x000d__x000a__x0009_'CC_TaxonomieCauses2LDD'[Causes_N2_EN],_x000d__x000a__x0009_'CC_TaxonomieCauses2LDD'[Cause_N3_EN],_x000d__x000a__x0009_'CC_TaxonomieCauses2LDD'[Cause_N4_EN],_x000d__x000a__x0009_'CC_TaxonomieCauses2LDD'[Description EN],_x000d__x000a__x0009_'CC_TaxonomieCauses2LDD'[Description FR]" commandType="4"/>
  </connection>
  <connection id="6" xr16:uid="{99ED82F0-E662-4EB7-8B25-323A84EFEA39}" keepAlive="1" name="REF - Taxo Risk" type="5" refreshedVersion="8" saveData="1">
    <dbPr connection="Provider=MSOLAP.8;Integrated Security=ClaimsToken;Persist Security Info=True;Initial Catalog=sobe_wowvirtualserver-54cb142e-aedf-4ce2-b5b3-47489ea62d19;Data Source=pbiazure://api.powerbi.com;MDX Compatibility=1;Safety Options=2;MDX Missing Member Mode=Error;Identity Provider=https://login.microsoftonline.com/common, https://analysis.windows.net/powerbi/api, 929d0ec0-7a41-4b1e-bc7c-b754a28bddcc;Update Isolation Level=2" command="DEFINE_x000d__x000a__x0009_VAR __DS0Core = _x000d__x000a__x0009__x0009_SUMMARIZECOLUMNS(_x000d__x000a__x0009__x0009__x0009_'CC_TaxonomieRisques2LDD'[N2 - FR],_x000d__x000a__x0009__x0009__x0009_'CC_TaxonomieRisques2LDD'[N2 - EN],_x000d__x000a__x0009__x0009__x0009_'CC_TaxonomieRisques2LDD'[N3 - FR],_x000d__x000a__x0009__x0009__x0009_'CC_TaxonomieRisques2LDD'[N3 - EN],_x000d__x000a__x0009__x0009__x0009_'CC_TaxonomieRisques2LDD'[N4 - FR],_x000d__x000a__x0009__x0009__x0009_'CC_TaxonomieRisques2LDD'[N4 - EN],_x000d__x000a__x0009__x0009__x0009_'CC_TaxonomieRisques2LDD'[Balise de couleur],_x000d__x000a__x0009__x0009__x0009_'CC_TaxonomieRisques2LDD'[ID de ressource de conformité],_x000d__x000a__x0009__x0009__x0009_'CC_TaxonomieRisques2LDD'[Type de contenu],_x000d__x000a__x0009__x0009__x0009_'CC_TaxonomieRisques2LDD'[Modifié],_x000d__x000a__x0009__x0009__x0009_'CC_TaxonomieRisques2LDD'[Créé],_x000d__x000a__x0009__x0009__x0009_'CC_TaxonomieRisques2LDD'[Créé par],_x000d__x000a__x0009__x0009__x0009_'CC_TaxonomieRisques2LDD'[Modifié par],_x000d__x000a__x0009__x0009__x0009_'CC_TaxonomieRisques2LDD'[Version],_x000d__x000a__x0009__x0009__x0009_'CC_TaxonomieRisques2LDD'[Pièces jointes],_x000d__x000a__x0009__x0009__x0009_'CC_TaxonomieRisques2LDD'[Modifier],_x000d__x000a__x0009__x0009__x0009_'CC_TaxonomieRisques2LDD'[Type],_x000d__x000a__x0009__x0009__x0009_'CC_TaxonomieRisques2LDD'[Nombre d'éléments enfants],_x000d__x000a__x0009__x0009__x0009_'CC_TaxonomieRisques2LDD'[Nombre d’enfants du dossier],_x000d__x000a__x0009__x0009__x0009_'CC_TaxonomieRisques2LDD'[Paramètres de l’étiquette],_x000d__x000a__x0009__x0009__x0009_'CC_TaxonomieRisques2LDD'[Étiquette de rétention],_x000d__x000a__x0009__x0009__x0009_'CC_TaxonomieRisques2LDD'[Étiquette de rétention appliquée],_x000d__x000a__x0009__x0009__x0009_'CC_TaxonomieRisques2LDD'[Étiquette appliquée par],_x000d__x000a__x0009__x0009__x0009_'CC_TaxonomieRisques2LDD'[L’élément est un enregistrement],_x000d__x000a__x0009__x0009__x0009_'CC_TaxonomieRisques2LDD'[Application créée par],_x000d__x000a__x0009__x0009__x0009_'CC_TaxonomieRisques2LDD'[Application modifiée par],_x000d__x000a__x0009__x0009__x0009_&quot;CountID&quot;, CALCULATE(COUNTA('CC_TaxonomieRisques2LDD'[ID]))_x000d__x000a__x0009__x0009_)_x000d__x000a__x000d__x000a__x0009_VAR __DS0BodyLimited = _x000d__x000a__x0009__x0009_TOPN(_x000d__x000a__x0009__x0009__x0009_500000,_x000d__x000a__x0009__x0009__x0009___DS0Core,_x000d__x000a__x0009__x0009__x0009_'CC_TaxonomieRisques2LDD'[N2 - FR],_x000d__x000a__x0009__x0009__x0009_1,_x000d__x000a__x0009__x0009__x0009_'CC_TaxonomieRisques2LDD'[N2 - EN],_x000d__x000a__x0009__x0009__x0009_1,_x000d__x000a__x0009__x0009__x0009_'CC_TaxonomieRisques2LDD'[N3 - FR],_x000d__x000a__x0009__x0009__x0009_1,_x000d__x000a__x0009__x0009__x0009_'CC_TaxonomieRisques2LDD'[N3 - EN],_x000d__x000a__x0009__x0009__x0009_1,_x000d__x000a__x0009__x0009__x0009_'CC_TaxonomieRisques2LDD'[N4 - FR],_x000d__x000a__x0009__x0009__x0009_1,_x000d__x000a__x0009__x0009__x0009_'CC_TaxonomieRisques2LDD'[N4 - EN],_x000d__x000a__x0009__x0009__x0009_1,_x000d__x000a__x0009__x0009__x0009_'CC_TaxonomieRisques2LDD'[Balise de couleur],_x000d__x000a__x0009__x0009__x0009_1,_x000d__x000a__x0009__x0009__x0009_'CC_TaxonomieRisques2LDD'[ID de ressource de conformité],_x000d__x000a__x0009__x0009__x0009_1,_x000d__x000a__x0009__x0009__x0009_'CC_TaxonomieRisques2LDD'[Type de contenu],_x000d__x000a__x0009__x0009__x0009_1,_x000d__x000a__x0009__x0009__x0009_'CC_TaxonomieRisques2LDD'[Modifié],_x000d__x000a__x0009__x0009__x0009_1,_x000d__x000a__x0009__x0009__x0009_'CC_TaxonomieRisques2LDD'[Créé],_x000d__x000a__x0009__x0009__x0009_1,_x000d__x000a__x0009__x0009__x0009_'CC_TaxonomieRisques2LDD'[Créé par],_x000d__x000a__x0009__x0009__x0009_1,_x000d__x000a__x0009__x0009__x0009_'CC_TaxonomieRisques2LDD'[Modifié par],_x000d__x000a__x0009__x0009__x0009_1,_x000d__x000a__x0009__x0009__x0009_'CC_TaxonomieRisques2LDD'[Version],_x000d__x000a__x0009__x0009__x0009_1,_x000d__x000a__x0009__x0009__x0009_'CC_TaxonomieRisques2LDD'[Pièces jointes],_x000d__x000a__x0009__x0009__x0009_1,_x000d__x000a__x0009__x0009__x0009_'CC_TaxonomieRisques2LDD'[Modifier],_x000d__x000a__x0009__x0009__x0009_1,_x000d__x000a__x0009__x0009__x0009_'CC_TaxonomieRisques2LDD'[Type],_x000d__x000a__x0009__x0009__x0009_1,_x000d__x000a__x0009__x0009__x0009_'CC_TaxonomieRisques2LDD'[Nombre d'éléments enfants],_x000d__x000a__x0009__x0009__x0009_1,_x000d__x000a__x0009__x0009__x0009_'CC_TaxonomieRisques2LDD'[Nombre d’enfants du dossier],_x000d__x000a__x0009__x0009__x0009_1,_x000d__x000a__x0009__x0009__x0009_'CC_TaxonomieRisques2LDD'[Paramètres de l’étiquette],_x000d__x000a__x0009__x0009__x0009_1,_x000d__x000a__x0009__x0009__x0009_'CC_TaxonomieRisques2LDD'[Étiquette de rétention],_x000d__x000a__x0009__x0009__x0009_1,_x000d__x000a__x0009__x0009__x0009_'CC_TaxonomieRisques2LDD'[Étiquette de rétention appliquée],_x000d__x000a__x0009__x0009__x0009_1,_x000d__x000a__x0009__x0009__x0009_'CC_TaxonomieRisques2LDD'[Étiquette appliquée par],_x000d__x000a__x0009__x0009__x0009_1,_x000d__x000a__x0009__x0009__x0009_'CC_TaxonomieRisques2LDD'[L’élément est un enregistrement],_x000d__x000a__x0009__x0009__x0009_1,_x000d__x000a__x0009__x0009__x0009_'CC_TaxonomieRisques2LDD'[Application créée par],_x000d__x000a__x0009__x0009__x0009_1,_x000d__x000a__x0009__x0009__x0009_'CC_TaxonomieRisques2LDD'[Application modifiée par],_x000d__x000a__x0009__x0009__x0009_1_x000d__x000a__x0009__x0009_)_x000d__x000a__x000d__x000a_EVALUATE_x000d__x000a__x0009___DS0BodyLimited_x000d__x000a__x000d__x000a_ORDER BY_x000d__x000a__x0009_'CC_TaxonomieRisques2LDD'[N2 - FR],_x000d__x000a__x0009_'CC_TaxonomieRisques2LDD'[N2 - EN],_x000d__x000a__x0009_'CC_TaxonomieRisques2LDD'[N3 - FR],_x000d__x000a__x0009_'CC_TaxonomieRisques2LDD'[N3 - EN],_x000d__x000a__x0009_'CC_TaxonomieRisques2LDD'[N4 - FR],_x000d__x000a__x0009_'CC_TaxonomieRisques2LDD'[N4 - EN],_x000d__x000a__x0009_'CC_TaxonomieRisques2LDD'[Balise de couleur],_x000d__x000a__x0009_'CC_TaxonomieRisques2LDD'[ID de ressource de conformité],_x000d__x000a__x0009_'CC_TaxonomieRisques2LDD'[Type de contenu],_x000d__x000a__x0009_'CC_TaxonomieRisques2LDD'[Modifié],_x000d__x000a__x0009_'CC_TaxonomieRisques2LDD'[Créé],_x000d__x000a__x0009_'CC_TaxonomieRisques2LDD'[Créé par],_x000d__x000a__x0009_'CC_TaxonomieRisques2LDD'[Modifié par],_x000d__x000a__x0009_'CC_TaxonomieRisques2LDD'[Version],_x000d__x000a__x0009_'CC_TaxonomieRisques2LDD'[Pièces jointes],_x000d__x000a__x0009_'CC_TaxonomieRisques2LDD'[Modifier],_x000d__x000a__x0009_'CC_TaxonomieRisques2LDD'[Type],_x000d__x000a__x0009_'CC_TaxonomieRisques2LDD'[Nombre d'éléments enfants],_x000d__x000a__x0009_'CC_TaxonomieRisques2LDD'[Nombre d’enfants du dossier],_x000d__x000a__x0009_'CC_TaxonomieRisques2LDD'[Paramètres de l’étiquette],_x000d__x000a__x0009_'CC_TaxonomieRisques2LDD'[Étiquette de rétention],_x000d__x000a__x0009_'CC_TaxonomieRisques2LDD'[Étiquette de rétention appliquée],_x000d__x000a__x0009_'CC_TaxonomieRisques2LDD'[Étiquette appliquée par],_x000d__x000a__x0009_'CC_TaxonomieRisques2LDD'[L’élément est un enregistrement],_x000d__x000a__x0009_'CC_TaxonomieRisques2LDD'[Application créée par],_x000d__x000a__x0009_'CC_TaxonomieRisques2LDD'[Application modifiée par]" commandType="4"/>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<sst xmlns="http://schemas.openxmlformats.org/spreadsheetml/2006/main" count="8177" uniqueCount="2593">
  <si>
    <t>FR</t>
  </si>
  <si>
    <t>Analyse de risque AX360 sur GCP</t>
  </si>
  <si>
    <t>L'application AX360 ainsi que la data platform sont deployés dans GCP. L'initiative vise a analyser la posture de sécurité de GCP et AX360 incluse</t>
  </si>
  <si>
    <t>AX360</t>
  </si>
  <si>
    <t>Composants GCP pour AX360</t>
  </si>
  <si>
    <t>b3wTpXgSZzuJ</t>
  </si>
  <si>
    <t>Hakim Naji</t>
  </si>
  <si>
    <t>Sonia Bélanger</t>
  </si>
  <si>
    <t>Derek Li</t>
  </si>
  <si>
    <t>Ally Meer-Hossen</t>
  </si>
  <si>
    <t>De Barros Albuquerque, Patrick</t>
  </si>
  <si>
    <t>AX360 is platform to be used by iA Private Wealth Advisors and employees. Their goals are to increase advisors’ satisfaction and retain them, optimize operating costs by optimizing and digitalizing manual processes, offer a better experience by centralizing the information, improve agility to adapt to market changes and provide competitive edge, and finally, Application portfolio simplification by making employee onboarding easier and support more efficient for both external and internal users.</t>
  </si>
  <si>
    <t>Gestion de patrimoine</t>
  </si>
  <si>
    <t>200+</t>
  </si>
  <si>
    <t>100+</t>
  </si>
  <si>
    <t>PII, Données Financieres</t>
  </si>
  <si>
    <t>Infonuagique (Google Cloud) - PaaS</t>
  </si>
  <si>
    <t>Oui</t>
  </si>
  <si>
    <t>Applicabilité
Applicability</t>
  </si>
  <si>
    <t>Numéro du risque
Risk Numbre</t>
  </si>
  <si>
    <t>Titre du Risque
Risk Title</t>
  </si>
  <si>
    <t>Scénario de Risque
Risk Scenario</t>
  </si>
  <si>
    <t>Probabilité Inhérent
Inherent Probability</t>
  </si>
  <si>
    <t>Explication Probabilité Inhérent
Inherent Probability Explaination</t>
  </si>
  <si>
    <t>Impact Inhérent
Inherent Impact</t>
  </si>
  <si>
    <t>Explication Impact Inhérent
Inherent Impact Explaination</t>
  </si>
  <si>
    <t>Niveau Risque Inhérent
Inherent Risk Level</t>
  </si>
  <si>
    <t>Causes
Causes</t>
  </si>
  <si>
    <t>Risque
Risk</t>
  </si>
  <si>
    <t>Impacts
Impacts</t>
  </si>
  <si>
    <t>Controles applicables
Applicable controls</t>
  </si>
  <si>
    <t>Efficacité des controles
Controls efficiency</t>
  </si>
  <si>
    <t>Efficacité globale 
Global efficiency</t>
  </si>
  <si>
    <t>Justification
Justification</t>
  </si>
  <si>
    <t>Risque résiduel
Residual risk</t>
  </si>
  <si>
    <t>Efficacité finale
Final efficiency</t>
  </si>
  <si>
    <t>Niveau risque final
Final Risk Level</t>
  </si>
  <si>
    <t>R1</t>
  </si>
  <si>
    <t>Certain</t>
  </si>
  <si>
    <t>Le chatbot CSV dans Datahub permet aux conseillers de télécharger des données clients sans plafond ni alerte sur le volume d'export. Le service KYC Cloud Run et le BigQuery Raw Layer ne sont pas suffisamment protégés contre l'exfiltration par un initié malveillant. L'absence de DLP, de logs d'audit et d'alertes de volume rend la détection quasi impossible.</t>
  </si>
  <si>
    <t>Majeur</t>
  </si>
  <si>
    <t>L'export illimité de portefeuilles clients (données KYC, financières, identifiants) constitue une atteinte catastrophique à la confidentialité. Expose iA à des sanctions réglementaires (OSFI, PIPEDA, Loi 25), à des pertes clients massives et à un préjudice réputationnel durable.</t>
  </si>
  <si>
    <t>4 - Très élevé</t>
  </si>
  <si>
    <t>- Inventaire et contrôle des actifs de l'entreprise
- Inventaire et contrôle des actifs logiciels
- Protection des données
- Configuration sécurisée des actifs et des logiciels de l'entreprise
- Gestion des comptes
- Gestion du contrôle d'accès
- Gestion du journal d'audit
- Surveillance et défense des réseaux
- Sécurité des logiciels et Applications
- Gestion des réponses aux incidents</t>
  </si>
  <si>
    <t>1 - Non efficace
1 - Non efficace
1 - Non efficace
3 - Efficace
1 - Non efficace
3 - Efficace
1 - Non efficace
3 - Efficace
3 - Efficace
3 - Efficace</t>
  </si>
  <si>
    <t>2 - Partiellement efficace</t>
  </si>
  <si>
    <t>Les contrôles de protection des données (Ctrl 3 : 21%), d'inventaire des actifs (Ctrl 1 : 19%), de gestion des comptes (Ctrl 5 : 32%) et de journal d'audit (Ctrl 8 : 9%) sont non efficaces. Ces quatre contrôles sont critiques pour la détection et la prévention d'une exfiltration interne. Malgré l'efficacité du contrôle d'accès (Ctrl 6 : 88%) et de la réponse aux incidents (Ctrl 17 : 100%), l'absence de DLP, de logs d'accès aux données sensibles et de plafond d'export maintient une efficacité globale insuffisante pour réduire significativement le risque.</t>
  </si>
  <si>
    <t>3 - Élevé</t>
  </si>
  <si>
    <t>R2</t>
  </si>
  <si>
    <t>Probable</t>
  </si>
  <si>
    <t>La plateforme AX360 expose plusieurs surfaces d'attaque accessibles depuis Internet : API Gateway, Firebase Hosting, intégrations externes (OKTA, Croesus, NBIN, COB). L'absence de gestion des vulnérabilités (Ctrl 7 : 32%), de journaux d'audit (Ctrl 8 : 9%) et de protection des données (Ctrl 3 : 21%) crée des vecteurs d'exploitation exploitables par un cybercriminel externe, mais aussi interne.</t>
  </si>
  <si>
    <t>Un cybercriminel ayant accès aux données KYC, financières ou personnelles des clients peut causer des pertes financières directes, une fuite massive de données réglementairement sensibles (NAS, biométrie) et une atteinte sévère à la réputation d'iA. Risque de sanctions OSFI et Loi 25.</t>
  </si>
  <si>
    <t>- Inventaire et contrôle des actifs de l'entreprise
- Inventaire et contrôle des actifs logiciels
- Protection des données
- Configuration sécurisée des actifs et des logiciels de l'entreprise
- Gestion des comptes
- Gestion du contrôle d'accès
- Gestion continue de la vulnérabilité
- Gestion du journal d'audit
- Protection des courriels et des navigateurs web
- Surveillance et défense des réseaux
- Sécurité des logiciels et Applications
- Gestion des réponses aux incidents
- Test de pénétration</t>
  </si>
  <si>
    <t>1 - Non efficace
1 - Non efficace
1 - Non efficace
3 - Efficace
1 - Non efficace
3 - Efficace
1 - Non efficace
1 - Non efficace
1 - Non efficace
3 - Efficace
3 - Efficace
3 - Efficace
3 - Efficace</t>
  </si>
  <si>
    <t>Bien que les contrôles d'accès (Ctrl 6 : 88%), de surveillance réseau (Ctrl 13 : 100%), de sécurité applicative (Ctrl 16 : 83%), de réponse aux incidents (Ctrl 17 : 100%) et de tests de pénétration (Ctrl 18 : 100%) soient efficaces, les contrôles de protection des données (Ctrl 3 : 21%), de gestion des vulnérabilités (Ctrl 7 : 32%) et de journaux d'audit (Ctrl 8 : 9%) sont non efficaces. La moyenne globale reflète une posture de défense en profondeur insuffisante face à un cybercriminel déterminé.</t>
  </si>
  <si>
    <t>R3</t>
  </si>
  <si>
    <t>La plateforme AX360 dépend d'Ateko pour la gestion de l'infrastructure GCP et de fournisseurs externes (OKTA). Une défaillance d'un tiers critique peut causer une indisponibilité. La probabilité est élevée compte tenu du nombre d'intégrations externes et de la complexité de l'architecture Cloud Run multi-projets.</t>
  </si>
  <si>
    <t>Important</t>
  </si>
  <si>
    <t>Une indisponibilité prolongée d'AX360 affecte directement les conseillers et leurs clients. Impact sur les relations d'affaires, les objectifs de performance et potentiellement des pertes financières liées à l'impossibilité de traiter des transactions.</t>
  </si>
  <si>
    <t>- Gestion des fournisseurs de services
- Gestion des réponses aux incidents
- Récupération des données</t>
  </si>
  <si>
    <t>3 - Efficace
3 - Efficace
3 - Efficace</t>
  </si>
  <si>
    <t>3 - Efficace</t>
  </si>
  <si>
    <t>Les trois contrôles applicables sont pleinement efficaces : gestion des fournisseurs (Ctrl 15 : 100%), réponse aux incidents (Ctrl 17 : 100%) et récupération des données (Ctrl 11 : 100%). L'organisation dispose d'un inventaire des prestataires, de contrats avec clauses de sécurité, de processus d'évaluation des fournisseurs, et d'un processus de réponse aux incidents formalisé avec Ateko. Les sauvegardes automatisées sont en place. Ces contrôles réduisent efficacement le risque inhérent.</t>
  </si>
  <si>
    <t>1 - Faible</t>
  </si>
  <si>
    <t>R4</t>
  </si>
  <si>
    <t>L'architecture AX360 est complexe (4 projets GCP, 8 microservices Cloud Run, 6 bases Cloud SQL). L'absence de gestion formelle des vulnérabilités (Ctrl 7 : 32%) et de journaux d'audit complets (Ctrl 8 : 9%) limite la capacité à détecter et corriger les problèmes de configuration. La présence d'une VM Compute Engine obsolète (Reverse Proxy) augmente le risque d'indisponibilité par mauvaise gestion interne et ouvertures aux vulnérabilités.</t>
  </si>
  <si>
    <t>Une dégradation ou indisponibilité due à une gestion interne inadéquate (déploiement défaillant, configuration erronée, patch manquant) affecte les conseillers et leurs clients, génère des plaintes et des pertes de productivité. Impact réputationnel et potentiellement réglementaire.</t>
  </si>
  <si>
    <t>- Configuration sécurisée des actifs et des logiciels de l'entreprise
- Gestion continue de la vulnérabilité
- Gestion du journal d'audit
- Récupération des données
- Sécurité des logiciels et Applications
- Gestion des réponses aux incidents</t>
  </si>
  <si>
    <t>3 - Efficace
1 - Non efficace
1 - Non efficace
3 - Efficace
3 - Efficace
3 - Efficace</t>
  </si>
  <si>
    <t>La configuration sécurisée (Ctrl 4 : 77%), la récupération des données (Ctrl 11 : 100%), la sécurité applicative (Ctrl 16 : 83%) et la réponse aux incidents (Ctrl 17 : 100%) sont efficaces. Cependant, la gestion des vulnérabilités (Ctrl 7 : 32%) et les journaux d'audit (Ctrl 8 : 9%) sont non efficaces, limitant la détection proactive des problèmes de configuration. Efficacité globale partiellement efficace — le risque résiduel est modéré.</t>
  </si>
  <si>
    <t>2 - Modéré</t>
  </si>
  <si>
    <t>R5</t>
  </si>
  <si>
    <t>Possible</t>
  </si>
  <si>
    <t>Les données AX360 proviennent de multiples sources (Cloud SQL, BigQuery Raw/ODS/Vault, Datastream, intégrations Croesus/NBIN/COB). L'absence d'inventaire et de classification des données (Ctrl 3 : 21%), de contrôle qualité formalisé et de logs d'accès (Ctrl 8 : 9%) rend difficile la détection de données de mauvaise qualité avant leur consommation par les conseillers.</t>
  </si>
  <si>
    <t>Limité</t>
  </si>
  <si>
    <t>Des données de mauvaise qualité peuvent générer des erreurs dans les décisions des conseillers, entraîner des corrections coûteuses et réduire la confiance dans la plateforme AX360. Impact principalement interne — pertes de temps, coûts de correction et potentiellement perte monétaire.</t>
  </si>
  <si>
    <t>- Inventaire et contrôle des actifs de l'entreprise
- Inventaire et contrôle des actifs logiciels
- Protection des données
- Gestion du journal d'audit
- Sécurité des logiciels et Applications</t>
  </si>
  <si>
    <t>1 - Non efficace
1 - Non efficace
1 - Non efficace
1 - Non efficace
3 - Efficace</t>
  </si>
  <si>
    <t>1 - Non efficace</t>
  </si>
  <si>
    <t>Tous les contrôles liés à la qualité et à l'inventaire des données (Ctrl 1 : 19%, Ctrl 2 : 0%, Ctrl 3 : 21%, Ctrl 8 : 9%) sont non efficaces. Seule la sécurité applicative (Ctrl 16 : 83%) est efficace mais ne couvre pas directement la qualité des données. Efficacité globale non efficace. Toutefois, le niveau inhérent étant modéré (Possible × Limité), le risque résiduel demeure modéré malgré l'absence de contrôles de qualité de données.</t>
  </si>
  <si>
    <t>R6</t>
  </si>
  <si>
    <t>L'architecture multi-projets d'AX360 et les nombreuses dépendances (Datastream, Pub/Sub KYC, intégrations externes) créent des points de défaillance potentiels. L'absence de logs d'audit (Ctrl 8 : 9%) et de gestion formelle des données (Ctrl 3 : 21%) limite la visibilité sur la disponibilité des données requises en temps voulu.</t>
  </si>
  <si>
    <t>L'indisponibilité de données spécifiques peut retarder des décisions ou l'exécution de processus métier, générer des coûts additionnels liés aux délais et affecter la productivité des conseillers. Impact limité car généralement détectable et temporaire.</t>
  </si>
  <si>
    <t>- Protection des données
- Gestion du journal d'audit
- Récupération des données
- Sécurité des logiciels et Applications</t>
  </si>
  <si>
    <t>1 - Non efficace
1 - Non efficace
3 - Efficace
3 - Efficace</t>
  </si>
  <si>
    <t>Les contrôles de protection et gestion des données (Ctrl 3 : 21%) et les journaux d'audit (Ctrl 8 : 9%) sont non efficaces, limitant la détection des problèmes d'accessibilité. Cependant, la récupération des données (Ctrl 11 : 100%) et la sécurité applicative (Ctrl 16 : 83%) compensent partiellement. Efficacité globale partiellement efficace. Le niveau inhérent modéré et les contrôles de récupération en place permettent de maintenir le risque résiduel à un niveau faible.</t>
  </si>
  <si>
    <t>R7</t>
  </si>
  <si>
    <t>R8</t>
  </si>
  <si>
    <t>R9</t>
  </si>
  <si>
    <t>R10</t>
  </si>
  <si>
    <t>R11</t>
  </si>
  <si>
    <t>R12</t>
  </si>
  <si>
    <t>R13</t>
  </si>
  <si>
    <t>R14</t>
  </si>
  <si>
    <t>R15</t>
  </si>
  <si>
    <t>ID</t>
  </si>
  <si>
    <t>ControlID</t>
  </si>
  <si>
    <t>Contrôle
Control</t>
  </si>
  <si>
    <t>Nom
Name</t>
  </si>
  <si>
    <t>Description
Description</t>
  </si>
  <si>
    <t>Commentaire SCSI
SCSI comments</t>
  </si>
  <si>
    <t>En place
In place</t>
  </si>
  <si>
    <t>Commentaire LOB
LOB Comments</t>
  </si>
  <si>
    <t>IG
IG</t>
  </si>
  <si>
    <t>Poid du safeguard
Weight per safeguard</t>
  </si>
  <si>
    <t>Poid d'implémentation
Implementation weight</t>
  </si>
  <si>
    <t>Non</t>
  </si>
  <si>
    <t>N/A</t>
  </si>
  <si>
    <t>Colibra est en place, cependant la couverture des données dans la plateforme GCP est incertaine. A verifier avec équipe Colibra</t>
  </si>
  <si>
    <t>Vérification faite sur GCP avec MCB</t>
  </si>
  <si>
    <t>Ateko (valider processus scrub) - NIST 80-88</t>
  </si>
  <si>
    <t>oui</t>
  </si>
  <si>
    <t>Pas de label ou tag identifié dans la plateforme GCP qui sert a identifier les données au sein de la plateforme</t>
  </si>
  <si>
    <t>Contrôle effectif au sein d'IA, cependant hors contrôle pour les postes des agents/partenaires accèdant a ces données de l'exterieur. Cependant cela fait parti du RBAC</t>
  </si>
  <si>
    <t>SSL/TLS en place</t>
  </si>
  <si>
    <t>Controles coté serveur sont en places et effectifs. Cependant on n'a de control sur les chiffrement coté utilisateur finaux (agent/partenaires)</t>
  </si>
  <si>
    <t>c'est en place dans GCP après vérifications</t>
  </si>
  <si>
    <t>a voir avec Ateko</t>
  </si>
  <si>
    <t>A voir avec Ateko</t>
  </si>
  <si>
    <t>* Le PIM/PAM est utilisé pour les accès administrateur
* PIM and PAM is used for administrative access</t>
  </si>
  <si>
    <t>Est ce que les comptes de services sont tous dans EntraID?</t>
  </si>
  <si>
    <t>* Si uniquement EntraID et Okta, oui; Si compte local, non; Si MongoDB, non
* If only EntraID and Okta, yes; If local account, no; If MongoDB, no</t>
  </si>
  <si>
    <t>* Dans Workday
* In Workday</t>
  </si>
  <si>
    <r>
      <rPr>
        <strike/>
        <sz val="11"/>
        <color theme="1"/>
        <rFont val="Calibri"/>
        <family val="2"/>
        <scheme val="minor"/>
      </rPr>
      <t xml:space="preserve">* Dans Workday
* In Workday
</t>
    </r>
    <r>
      <rPr>
        <sz val="11"/>
        <color theme="1"/>
        <rFont val="Calibri"/>
        <family val="2"/>
        <scheme val="minor"/>
      </rPr>
      <t>*MFA enforced via EntraID and Okta</t>
    </r>
  </si>
  <si>
    <t>* Si uniquement EntraID, oui; Si Okta, non; Si compte local, à valider
* If only EntraID, yes; If Okta, no; If local account, to review
* Global Protect required MFA
* DaaS required MFA</t>
  </si>
  <si>
    <t>* Les postes corporatifs utilisent Prisma Access
* Corporate computers use Prisma Access
*Beyond Insight HPAM
*PIM</t>
  </si>
  <si>
    <t>* Valider si un administrateur peut accéder à la solution à partir d'internet
* Validate if an admin can access the solution from internet</t>
  </si>
  <si>
    <t>*Le processus existe, il est documenté mais il n'est pas publié.
*The process exists, it is documented, but it is not published.</t>
  </si>
  <si>
    <t>* L'équipe de gestion de vulnérabilité est responsable du processus
* Vulnerability Management team is responsible of the process</t>
  </si>
  <si>
    <t>*Automated patch management via Intune for Desktops.
*Automated patch management via SCCM for Servers On-Premises and running on Azure VMWare Solution
*Manuel patch management for Azure Servers (You Built it, You patch it)</t>
  </si>
  <si>
    <t>* Les vulnérabilités ne sont pas corrigées automatiquement
* Vulnerabilities are not patched automatically</t>
  </si>
  <si>
    <t xml:space="preserve">*Automated scans for all Servers and Desktops with Defender and Crowdstrike 
* Partial and manuel scans for IoT and network devices (appliances included) </t>
  </si>
  <si>
    <t>* Les vulnérabilités externes sont identifié via les outils Nessus, les services de CGI et Palo Alto EASM (ce dernier couvre tous les filiales).
*External vulnerabilities are identified through Nessus tools, CGI services, and Palo Alto EASM (the latter covers all subsidiaries).</t>
  </si>
  <si>
    <t>* Les vulnérabilités sont corrigés avant les déploiement seulement
* Vulnerabilities are fixed prior to deployment only</t>
  </si>
  <si>
    <t>Pas de connecteur de logs identifié dans GCP</t>
  </si>
  <si>
    <t>* Les courriels sont analysés par ProofPoint
* Emails are scanned by ProofPoint</t>
  </si>
  <si>
    <t>* Microsoft Defender est déployé
* Microsoft Defender is deployed</t>
  </si>
  <si>
    <t>* L'antivirus corporatif est mis à jour périodiquement
* Corporate antivirus is updated periodically</t>
  </si>
  <si>
    <t>* Les média externe sont bloqués
* External media are blocked</t>
  </si>
  <si>
    <t>Trouver le nom de l'équipe</t>
  </si>
  <si>
    <t>Si dans ComVault, oui; Sinon valider
If in ComVault, yes ; Otherwise, validate</t>
  </si>
  <si>
    <t>* Formations Workday
* Workday training</t>
  </si>
  <si>
    <t>* Inclus dans Snyk pour les applications développés par iA
* Include in Snyk for aplpications developped by iA</t>
  </si>
  <si>
    <t>* Ce n'est pas fait pour les vulnérabilités dans le code
* Not done for vulnerabilities in the code.</t>
  </si>
  <si>
    <t>* Environnements de dev, accept et prod
* Dev, accept and prod environments</t>
  </si>
  <si>
    <t>* Fait lors de l'analyse de risque
* Preformed with the risk assessment</t>
  </si>
  <si>
    <t>* Équipe React
* React team</t>
  </si>
  <si>
    <t>Sur demande et annuelle</t>
  </si>
  <si>
    <t>voir avec Ateko</t>
  </si>
  <si>
    <t>a verifier</t>
  </si>
  <si>
    <t>ID
ID</t>
  </si>
  <si>
    <t>Controle
Control</t>
  </si>
  <si>
    <t>Efficacité dans l'analyse de risque
Efficiency in the risk assessment</t>
  </si>
  <si>
    <t>Taxonomie (cause)
Taxonomy (cause)</t>
  </si>
  <si>
    <t>Poid du controle
Control Weight</t>
  </si>
  <si>
    <t>Score du controle
Score of controls in Place (Total score)</t>
  </si>
  <si>
    <t>Score pondéré
Ponderated Score</t>
  </si>
  <si>
    <t>Sur la plateforme AX360, aucun inventaire formel des actifs cloud n'est maintenu : les 4 projets GCP (Frontend, BFF/sharedsvc, Datahub, Monitoring) et leurs composants (8 microservices Cloud Run, 6 bases Cloud SQL, Redis, VM Reverse Proxy, Firebase) ne font pas l'objet d'un registre d'actifs à jour. L'absence de processus de découverte active (01.03 : Non) et de lutte contre les actifs non autorisés (01.02 : Non) signifie que des ressources GCP orphelines ou non approuvées pourraient exister sans détection. Ce contrôle est non efficace (19%) — seul le DHCP cloud (01.04 : Oui) est en place.</t>
  </si>
  <si>
    <t>14. Sécurité et contrôles inadéquats
40. Contrôles techniques inadéquats
09. Documentation inadéquate
26. Documentation inadéquate (ex : modèle, processus, employé)</t>
  </si>
  <si>
    <t>Aucun inventaire des logiciels déployés sur AX360 n'est maintenu. Les images Docker des 8 microservices Cloud Run, les versions de bibliothèques tierces (npm, Python packages) et les composants Firebase ne sont pas répertoriés dans un catalogue centralisé. L'absence d'outil d'inventaire automatisé (02.04 : Non) et de liste d'autorisations logicielles (02.05 : Non) empêche de détecter des logiciels non autorisés ou vulnérables. Ce contrôle est non efficace (0%) — tous les safeguards actifs sont N/A (hors périmètre cloud).</t>
  </si>
  <si>
    <t>14. Sécurité et contrôles inadéquats
40. Contrôles techniques inadéquats
11. Développement de solution informatique inadéquat
32. Développement et/ou contrôle de la qualité de la solution informatique inadéquats</t>
  </si>
  <si>
    <t>La protection des données est le contrôle le plus défaillant pour AX360. Aucun inventaire ni classification des données n'existe (03.01, 03.02 : Non), les listes de contrôle d'accès aux données ne sont pas configurées (03.03 : Non), et il n'y a pas de solution DLP déployée (03.13 : Non). Les données KYC (NAS, biométrie) dans le BigQuery Raw Layer ne sont pas masquées. Le chiffrement des données au repos est absent sur plusieurs services (03.11 : Non). Seuls le flux de données documenté (03.08 : Oui), le chiffrement en transit (03.10 : Oui) et la segmentation par type (03.12 : Oui) sont en place. Ce contrôle est non efficace (21%) malgré son importance critique pour un portefeuille financier.</t>
  </si>
  <si>
    <t>14. Sécurité et contrôles inadéquats
41. Sécurité logicielle inadéquate
15. Faible qualité des données
42. Faible qualité des données (N3)
10. Architecture inadéquate
29. Architecture applicative inadéquate</t>
  </si>
  <si>
    <t>Ce contrôle est le mieux implémenté sur AX360 (77%). Les processus de configuration sécurisée des actifs et logiciels (04.01, 04.02 : Oui), les pare-feux (04.04, 04.05 : Oui) et la gestion sécurisée des actifs (04.06 : Oui) sont en place via les pratiques GCP d'Ateko. Les services inutiles sont désactivés (04.08 : Oui). Les lacunes restantes concernent la gestion des comptes par défaut (04.07 : Non — comptes GCP avec mots de passe par défaut non révoqués) et la configuration DNS de confiance (04.09 : Non). Ce contrôle est globalement efficace pour réduire la surface d'attaque de la plateforme.</t>
  </si>
  <si>
    <t>14. Sécurité et contrôles inadéquats
40. Contrôles techniques inadéquats
12. Gestion du système d'information inappropriée
33. Mauvaise configuration de la solution informatique</t>
  </si>
  <si>
    <t>La gestion des comptes présente des lacunes significatives sur AX360. Aucun inventaire formel des comptes (05.01 : Non) ni des comptes de service GCP (05.05 : Non) n'existe, les comptes dormants ne sont pas désactivés systématiquement (05.03 : Non), et les privilèges d'administrateur ne sont pas limités à des comptes dédiés (05.04 : Non — rôles Owner/Editor potentiellement présents en prod). La centralisation de la gestion des comptes (05.06 : Oui via OKTA/Cloud Identity) et l'utilisation de mots de passe uniques (05.02 : Oui) sont les points positifs. Efficacité globale non efficace (32%).</t>
  </si>
  <si>
    <t>14. Sécurité et contrôles inadéquats
40. Contrôles techniques inadéquats
06. Contrôles et gestion inadéquats
18. Contrôles de processus / gestion des contrôles inadéquats</t>
  </si>
  <si>
    <t>Le contrôle d'accès est le point fort de la plateforme AX360 (88%). Les procédures d'octroi et de révocation d'accès sont formalisées (06.01, 06.02 : Oui), la MFA est requise pour les applications exposées, l'accès distant et l'administration (06.03, 06.04, 06.05 : Oui). Le contrôle d'accès basé sur les rôles (RBAC) est défini et géré (06.08 : Oui). La seule lacune est l'absence d'inventaire formel des systèmes d'authentification (06.06 : Non). Ce contrôle réduit efficacement le risque d'accès non autorisé sur GCP et les applications AX360.</t>
  </si>
  <si>
    <t>14. Sécurité et contrôles inadéquats
40. Contrôles techniques inadéquats
02. Comportement humain préjudiciable
04. Faute grave (délibérée ou par négligence)</t>
  </si>
  <si>
    <t>La gestion des vulnérabilités est insuffisante sur AX360 (32%). Bien que le processus de remédiation (07.02 : Oui) et la gestion des correctifs des systèmes d'exploitation (07.03 : Oui) soient en place, il n'existe pas de processus formel de gestion des vulnérabilités (07.01 : Non), pas de gestion automatisée des correctifs applicatifs (07.04 : Non), et aucun scan automatisé des services Cloud Run ou des endpoints exposés (07.05, 07.06 : Non). La remédiation des vulnérabilités identifiées ne suit pas non plus de processus structuré (07.07 : Non). Ce contrôle est non efficace pour la détection proactive des failles exploitables.</t>
  </si>
  <si>
    <t>14. Sécurité et contrôles inadéquats
41. Sécurité logicielle inadéquate
11. Développement de solution informatique inadéquat
34. Maintenance des applications et/ou du matériel informatique inadéquate</t>
  </si>
  <si>
    <t>La gestion des journaux d'audit est le contrôle le plus défaillant de la plateforme AX360 (9%). Aucun processus de gestion des journaux n'est établi (08.01 : Non), les journaux d'audit ne sont pas collectés systématiquement sur BigQuery, Firestore et Cloud Run (08.02 : Non), et leur rétention n'est pas configurée (08.03, 08.10 : Non). L'absence de journalisation des requêtes BigQuery signifie que les exports CSV du chatbot sont indétectables. Seule la collecte des journaux de ligne de commande (08.08 : Oui) est active via Cloud Logging basique. Ce contrôle à 9% d'efficacité représente un angle mort majeur pour la détection d'incidents sur AX360.</t>
  </si>
  <si>
    <t>14. Sécurité et contrôles inadéquats
40. Contrôles techniques inadéquats
12. Gestion du système d'information inappropriée
34. Maintenance des applications et/ou du matériel informatique inadéquate
09. Documentation inadéquate</t>
  </si>
  <si>
    <t>Le contrôle de protection des courriels et des navigateurs est partiellement applicable à AX360 (plateforme cloud-native sans poste de travail géré directement). Les services de filtrage DNS (09.02 : Non) et l'utilisation de navigateurs sécurisés (09.01 : Non) ne sont pas formellement enforced pour les utilisateurs VDI. Seul le filtrage d'URL réseau (09.03 : Oui) est en place. Les safeguards 09.04 à 09.07 sont N/A (gestion de navigateur corporate hors périmètre). Efficacité non efficace (27%) dans le contexte de la plateforme.</t>
  </si>
  <si>
    <t>14. Sécurité et contrôles inadéquats
40. Contrôles techniques inadéquats
02. Comportement humain préjudiciable
03. Erreur humaine</t>
  </si>
  <si>
    <t>Ce contrôle est entièrement non applicable (N/A) à la plateforme AX360. L'architecture Cloud Run (conteneurs sans OS invité géré) et Firebase (PaaS) ne requiert pas de solution anti-malware traditionnelle au niveau des instances. Google Cloud gère la sécurité de l'hyperviseur et des images de base. Les safeguards 10.01 à 10.07 sont tous N/A. La protection contre les logiciels malveillants est assurée par les mécanismes natifs GCP (Binary Authorization, Artifact Registry scanning) couverts par d'autres contrôles (CIS 16).</t>
  </si>
  <si>
    <t>14. Sécurité et contrôles inadéquats
41. Sécurité logicielle inadéquate</t>
  </si>
  <si>
    <t>La récupération des données est pleinement efficace sur AX360 (100%). Les sauvegardes automatisées des bases Cloud SQL (IPS, Households, KYC, Notifications, Preferences, Advisor Data) sont activées (11.02 : Oui) et les données de récupération sont protégées (11.03 : Oui). Ces contrôles permettent de restaurer les données en cas d'incident de disponibilité ou de corruption. Les safeguards N/A (11.01, 11.04, 11.05) concernent des configurations hors périmètre GCP. Ce contrôle réduit efficacement l'impact des incidents R3 et R4 sur la continuité des données.</t>
  </si>
  <si>
    <t>13. Problème de performance technique
37. Capacité insuffisante des applications et/ou du matériel informatique
17. Défaillance d'un tiers
44. Défaillance d'un tiers (N3)</t>
  </si>
  <si>
    <t>Ce contrôle est entièrement non applicable (N/A) à la plateforme AX360. L'infrastructure réseau d'AX360 repose sur GCP (VPC géré, Cloud Load Balancer, Serverless VPC Connector) et est gérée par Ateko via Terraform/IaC. Les safeguards CIS 12 (12.01 à 12.08) s'appliquent à l'infrastructure réseau physique et aux équipements on-premises, qui sont hors périmètre de l'analyse. La sécurité réseau cloud est couverte par CIS 13 (Surveillance et défense des réseaux).</t>
  </si>
  <si>
    <t>10. Architecture inadéquate
30. Architecture technique inadéquate</t>
  </si>
  <si>
    <t>La surveillance et défense des réseaux est efficace sur AX360 (100%). La collecte des journaux de flux de trafic réseau est en place (13.06 : Oui via Cloud Flow Logs/VPC Flow Logs). Les autres safeguards (13.01 à 13.11) sont N/A car ils concernent des outils de défense réseau on-premises (IDS/IPS, SIEM on-premises) non applicables à l'architecture cloud-native AX360. Google Cloud Security Command Center (SCC) et Cloud Armor assurent la détection des menaces réseau au niveau de la plateforme GCP.</t>
  </si>
  <si>
    <t>14. Sécurité et contrôles inadéquats
40. Contrôles techniques inadéquats
18. Activités malveillantes
45. Cyberattaque</t>
  </si>
  <si>
    <t>La formation à la sensibilisation sécurité est pleinement efficace (100%). L'ensemble des safeguards de formation (14.01 à 14.09) sont en place : programme de sensibilisation actif, formations aux attaques de phishing, meilleures pratiques d'authentification, gestion des données sensibles, reconnaissance des incidents, dangers du Wi-Fi public, et exercices de sensibilisation périodiques. Ce contrôle réduit efficacement le risque de comportement humain préjudiciable pour les risques R1 (initié malveillant) et R2 (cybercriminel via ingénierie sociale).</t>
  </si>
  <si>
    <t>03. Gestion des talents inadéquate
07. Formation et compétences inadéquates
02. Comportement humain préjudiciable
04. Faute grave (délibérée ou par négligence)</t>
  </si>
  <si>
    <t>La gestion des fournisseurs de services est pleinement efficace sur AX360 (100%). Un inventaire des prestataires de services (Ateko, OKTA, Croesus, Persona, NBIN, COB) est maintenu (15.01 : Oui), une politique de gestion des prestataires est établie (15.02 : Oui), les contrats incluent des exigences de sécurité (15.04 : Oui), les prestataires sont évalués (15.05 : Oui), surveillés (15.06 : Oui) et un processus de déclassement sécurisé existe (15.07 : Oui). Ce contrôle réduit efficacement le risque lié à la défaillance du tiers Ateko (R3).</t>
  </si>
  <si>
    <t>17. Défaillance d'un tiers
44. Défaillance d'un tiers (N3)
07. Mauvaise gestion juridique, contractuelle ou réglementaire
21. Contrat inadéquat</t>
  </si>
  <si>
    <t>La sécurité applicative est efficace sur AX360 (83%). Les processus d'acceptation et de traitement des vulnérabilités (16.02 : Oui), l'analyse des causes profondes (16.03 : Oui), la gestion des composants tiers (16.04, 16.05 : Oui), les modèles de configuration de renforcement (16.07 : Oui), la séparation prod/non-prod (16.08 : Oui), les contrôles de sécurité au niveau du code (16.12 : Oui) et les tests de pénétration applicatifs (16.13 : Oui) sont en place. Les lacunes sont l'absence de modules de sécurité approuvés pour composants sensibles (16.11 : Non) et de modélisation des menaces formelle (16.14 : Non).</t>
  </si>
  <si>
    <t>11. Développement de solution informatique inadéquat
31. Mauvaise conception / spécification de la solution informatique
32. Développement et/ou contrôle de la qualité de la solution informatique inadéquats
18. Activités malveillantes
45. Cyberattaque</t>
  </si>
  <si>
    <t>La gestion des réponses aux incidents est pleinement efficace (100%). Le personnel dédié à la gestion des incidents est désigné (17.01 : Oui), les coordonnées de contact sont maintenues (17.02 : Oui), un processus de notification est établi (17.03 : Oui), le plan de réponse aux incidents est documenté et inclut le processus avec Ateko (doc. Gestion des incidents : 17.04, 17.05, 17.06 : Oui), des exercices réguliers sont effectués (17.07 : Oui), des revues post-incident sont réalisées (17.08 : Oui) et des seuils d'incidents sont définis (17.09 : Oui). Ce contrôle est une force majeure pour R1, R2, R3 et R4.</t>
  </si>
  <si>
    <t>17. Défaillance d'un tiers
44. Défaillance d'un tiers (N3)
18. Activités malveillantes
45. Cyberattaque
08. Gouvernance / modèle opérationnel inadéquats
22. Structure de gouvernance ou modèle opérationnel inadéquat</t>
  </si>
  <si>
    <t>Le programme de tests de pénétration est efficace (100%). Un programme de tests de pénétration est établi et maintenu (18.01 : Oui), des tests externes périodiques sont effectués (18.02 : Oui), les résultats sont remédiés (18.03 : Oui) et les mesures de sécurité sont validées (18.04 : Oui). Le test de pénétration interne périodique (18.05 : N/A) est hors périmètre car géré par GCP/Ateko. Ce contrôle valide l'efficacité des autres mesures de sécurité et détecte les vulnérabilités résiduelles — particulièrement pertinent pour R2 (cybercriminel).</t>
  </si>
  <si>
    <t>14. Sécurité et contrôles inadéquats
41. Sécurité logicielle inadéquate
18. Activités malveillantes
45. Cyberattaque
11. Développement de solution informatique inadéquat
31. Mauvaise conception / spécification de la solution informatique</t>
  </si>
  <si>
    <t># du risque
Risk #</t>
  </si>
  <si>
    <t>Nom du plan d'action
Action plan name</t>
  </si>
  <si>
    <t>Actions
Actions</t>
  </si>
  <si>
    <t>Liste des évidences
List of evidences</t>
  </si>
  <si>
    <t>Causes mitigées
Mitigated causes</t>
  </si>
  <si>
    <t>Priorité
Priority</t>
  </si>
  <si>
    <t>Propriétaire
Owner</t>
  </si>
  <si>
    <t>Date de début planifiée
Planned start date</t>
  </si>
  <si>
    <t>Date de fin planifiée
Planned end date</t>
  </si>
  <si>
    <t>R1, R2</t>
  </si>
  <si>
    <t>Limiter et surveiller les exports CSV depuis BigQuery (chatbot)</t>
  </si>
  <si>
    <t>• Implémenter un plafond de lignes par export depuis le chatbot Datahub (ex. 500 lignes max par requête)
• Créer des alertes Cloud Monitoring sur tout export dépassant un seuil de volume (ex. &gt; 100 Mo) par compte conseiller
• Activer les Audit Logs DATA_READ et DATA_WRITE sur BigQuery
• Appliquer une Org Policy constraints/bigquery.disableTableExportToBuckets pour restreindre les exports vers des buckets non autorisés</t>
  </si>
  <si>
    <t>• Capture Cloud Monitoring montrant les alertes sur volume d'export
• Org Policy BigQuery activée (gcloud org-policies describe)
• Audit Logs DATA_READ/WRITE activés (gcloud projects get-iam-policy)</t>
  </si>
  <si>
    <t>- 02. Comportement humain préjudiciable
- 14. Sécurité et contrôles inadéquats</t>
  </si>
  <si>
    <t>1 - Critique</t>
  </si>
  <si>
    <t>iA — Équipe Cloud / RSSI</t>
  </si>
  <si>
    <t>Mettre en place une solution DLP sur les données sensibles</t>
  </si>
  <si>
    <t>• Déployer Cloud DLP pour masquer les données KYC (NAS, biométrie, identité) dans le BigQuery Raw Layer avant chargement
• Mettre en place des règles DLP pour détecter et bloquer les exports de données PII non masquées
• Améliorer le filtrage web pour bloquer les sites facilitant l'exfiltration (transfert de fichiers non autorisé)</t>
  </si>
  <si>
    <t>• Rapport Cloud DLP montrant les règles actives et les résultats de scan
• Preuve de masquage dans le Raw Layer (requête BQ sur colonnes sensibles)
• Logs des tentatives d'export bloquées</t>
  </si>
  <si>
    <t>- 14. Sécurité et contrôles inadéquats
- 10. Architecture inadéquate</t>
  </si>
  <si>
    <t>iA — Équipe Cloud / Architecte</t>
  </si>
  <si>
    <t>Activer et centraliser les journaux d'audit GCP</t>
  </si>
  <si>
    <t>• Activer Cloud Audit Logs (Admin, DATA_READ, DATA_WRITE) sur BigQuery, Firestore, Cloud Run et Cloud SQL
• Configurer la rétention des logs à minimum 365 jours dans Cloud Logging (_Default bucket)
• Centraliser les logs dans Cloud Monitoring et configurer des alertes sur les comportements anormaux
• Mettre en place un processus de revue mensuelle des journaux d'audit</t>
  </si>
  <si>
    <t>• Capture de la configuration Audit Logs (gcloud projects get-iam-policy)
• Confirmation rétention ≥ 365 jours (gcloud logging buckets describe _Default)
• Alertes Cloud Monitoring configurées (gcloud monitoring alerting policies list)</t>
  </si>
  <si>
    <t>- 14. Sécurité et contrôles inadéquats
- 09. Documentation inadéquate</t>
  </si>
  <si>
    <t>Corriger les ingress Cloud Run — passer tous les microservices en 'internal'</t>
  </si>
  <si>
    <t>• Configurer ingress=internal sur les 8 microservices sharedsvc : WPM, IPS, Performance, Households, KYC, Notifications, Delivery Pref, Advisor Data
• Configurer ingress=internal-and-cloud-load-balancing sur le BFF
• Valider avec le script batch de vérification (onglet Vérifications AX360)
• Documenter les exceptions éventuelles avec justification</t>
  </si>
  <si>
    <t>• Résultat du script batch : 8 lignes PASS ✓
• Capture gcloud run services describe pour chaque service
• Test de connexion directe échouant depuis Internet</t>
  </si>
  <si>
    <t>- 10. Architecture inadéquate
- 14. Sécurité et contrôles inadéquats</t>
  </si>
  <si>
    <t>Ateko — Pierre Fortin Carrier</t>
  </si>
  <si>
    <t>Sécuriser les règles Firestore — mode deny-all par défaut</t>
  </si>
  <si>
    <t>• Auditer les règles de sécurité Firestore actuelles (Console Firebase → Firestore → Règles)
• Remplacer toute règle 'allow read, write: if true' par des règles explicites avec vérification auth.uid
• Implémenter le principe deny-all par défaut avec accès granulaires par collection
• Activer les Audit Logs Firestore (DATA_READ et DATA_WRITE)</t>
  </si>
  <si>
    <t>• Capture des règles Firestore après correction
• Confirmation absence de 'allow read, write: if true'
• Test de tentative d'accès non autorisé échouant</t>
  </si>
  <si>
    <t>- - 10. Architecture inadéquate
- 14. Sécurité et contrôles inadéquats</t>
  </si>
  <si>
    <t>iA — Équipe Dev / Ateko</t>
  </si>
  <si>
    <t>Mettre en place la gestion des comptes et du moindre privilège</t>
  </si>
  <si>
    <t>• Établir un inventaire complet des comptes GCP (Service Accounts, comptes humains)
• Supprimer les rôles Owner et Editor en production sur les 4 projets AX360
• Désactiver les comptes dormants et révoquer les accès Ateko non justifiés
• Mettre en place un processus Just-In-Time pour les accès privilégiés en production
• Éliminer toutes les clés SA JSON (USER_MANAGED) — migrer vers Workload Identity</t>
  </si>
  <si>
    <t>• Rapport IAM sans roles/owner ni roles/editor en prod (gcloud projects get-iam-policy)
• Confirmation 0 clé SA USER_MANAGED active
• Inventaire des comptes documenté et approuvé</t>
  </si>
  <si>
    <t>- 14. Sécurité et contrôles inadéquats
- 03. Gestion des talents inadéquate</t>
  </si>
  <si>
    <t>iA — RSSI / Équipe Cloud</t>
  </si>
  <si>
    <t>Durcir les images Docker avec les CIS Benchmarks</t>
  </si>
  <si>
    <t>• Durcir les images Docker des microservices Cloud Run en appliquant les CIS Benchmarks
• Activer le scan de vulnérabilités automatique dans Artifact Registry
• Configurer Binary Authorization pour n'autoriser que les images signées et approuvées
• Intégrer un scan SAST/DAST dans le pipeline CI/CD avec gate bloquant sur CVSS &gt; 7</t>
  </si>
  <si>
    <t>• Rapport Artifact Registry montrant 0 vulnérabilité CRITIQUE non traitée
• Configuration Binary Authorization active (gcloud container binauthz policy)
• Pipeline CI/CD avec scan intégré et gate qualité</t>
  </si>
  <si>
    <t>- 11. Développement de solution informatique inadéquat
- 14. Sécurité et contrôles inadéquats</t>
  </si>
  <si>
    <t>2 - Élevée</t>
  </si>
  <si>
    <t>Mettre en place la gestion des vulnérabilités</t>
  </si>
  <si>
    <t>• Établir un processus formel de gestion des vulnérabilités avec SLA (critique &lt; 72h, élevé &lt; 30 jours)
• Activer les scans automatiques de vulnérabilités sur tous les services Cloud Run et Cloud SQL
• Mettre en place la gestion automatisée des correctifs pour les applications et les OS
• Documenter et suivre les vulnérabilités identifiées dans un registre avec responsable et date de remédiation</t>
  </si>
  <si>
    <t>• Rapport de scan hebdomadaire (Trivy, Artifact Registry)
• Registre de vulnérabilités avec statut et dates
• Preuve de patch dans les délais SLA définis</t>
  </si>
  <si>
    <t>- 12. Gestion du sytème d'information inappropriée
- 14. Sécurité et contrôles inadéquats</t>
  </si>
  <si>
    <t>Sécuriser les credentials des intégrations externes dans Secret Manager</t>
  </si>
  <si>
    <t>• Migrer tous les credentials (OKTA, Croesus, Persona, Document API, NBIN, COB) vers Secret Manager
• Éliminer toutes les variables d'environnement avec valeurs en clair dans les Cloud Run
• Configurer la rotation automatique des secrets (&lt; 90 jours)
• Mettre en place des règles Egress firewall vers les IPs connues des partenaires uniquement</t>
  </si>
  <si>
    <t>• gcloud secrets list montrant tous les credentials en SM
• gcloud run services describe bff montrant 0 variable avec .value en clair
• Confirmation rotation configurée sur chaque secret</t>
  </si>
  <si>
    <t>Contractualiser les SLA de résolution et les obligations RCA avec Ateko</t>
  </si>
  <si>
    <t>• Définir et contractualiser les SLA de résolution par priorité (P1 &lt; 4h, P2 &lt; 8h, P3 &lt; 48h, P4 &lt; 5 jours ouvrables)
• Exiger un rapport RCA sous 5 jours ouvrables pour tout incident P1 et 10 jours pour P2
• Mettre en place un rapport mensuel de performance MSC Ateko avec les métriques de disponibilité
• Documenter le numéro de téléphone d'escalade MSC Ateko 24h/7j/365j dans les procédures</t>
  </si>
  <si>
    <t>• Avenant contractuel signé avec Ateko incluant les SLA
• Modèle de rapport RCA approuvé par iA et Ateko
• Rapport mensuel MSC reçu pour le premier mois</t>
  </si>
  <si>
    <t>- 17. Défaillance d'un tiers</t>
  </si>
  <si>
    <t>iA — Direction / Juridique</t>
  </si>
  <si>
    <t>Documenter et tester l'exit strategy Ateko (OSFI B-10 §6)</t>
  </si>
  <si>
    <t>• Documenter le processus complet de transition si Ateko est remplacé (inventaire des configurations, accès, runbooks)
• Valider qu'Ateko dispose d'une documentation à jour de l'infrastructure gérée
• Tester le scénario de reprise en main de l'infrastructure par une équipe alternative
• Intégrer l'exit strategy dans le plan de continuité des activités</t>
  </si>
  <si>
    <t>• Document exit strategy approuvé par la Direction
• Inventaire complet de l'infrastructure Ateko reçu et validé
• Compte-rendu du test de transition</t>
  </si>
  <si>
    <t>3 - Modérée</t>
  </si>
  <si>
    <t>iA — Direction / RSSI</t>
  </si>
  <si>
    <t>Mettre en place la gestion des journaux d'audit pour la détection proactive</t>
  </si>
  <si>
    <t>• Compléter l'activation des Audit Logs sur tous les services (Cloud Run, Cloud SQL, Firestore, BigQuery)
• Configurer des alertes sur les événements anormaux : erreurs de configuration, changements IAM non planifiés
• Mettre en place un processus de revue hebdomadaire des logs opérationnels par l'équipe Ateko
• Intégrer Security Command Center (SCC) pour la détection automatique des mauvaises configurations</t>
  </si>
  <si>
    <t>• Audit Logs complets activés sur tous les services
• Alertes Cloud Monitoring configurées et testées
• Rapport SCC montrant 0 finding CRITICAL non traité</t>
  </si>
  <si>
    <t>- 09. Documentation inadéquate
- 12. Gestion du sytème d'information inappropriée</t>
  </si>
  <si>
    <t>Migrer le Reverse Proxy Compute Engine vers Cloud Run</t>
  </si>
  <si>
    <t>• Documenter le rôle exact et les dépendances du Reverse Proxy Compute Engine (composant 'Old')
• Planifier et exécuter la migration du service Households vers une architecture Cloud Run native
• En attendant la migration : activer OS Login, désactiver le port série, restreindre le SA de la VM
• Supprimer l'IP externe de la VM si présente</t>
  </si>
  <si>
    <t>• Architecture Cloud Run Households validée sans VM
• Ou : OS Login activé + IP externe absente + SA VM avec rôle minimal
• Document de migration approuvé</t>
  </si>
  <si>
    <t>- 10. Architecture inadéquate
- 13. Problème de performance technique</t>
  </si>
  <si>
    <t>Établir un inventaire et une classification des données AX360</t>
  </si>
  <si>
    <t>• Établir un inventaire détaillé de toutes les données traitées par AX360 (BigQuery, Cloud SQL, Firestore)
• Classifier les données selon 4 niveaux (Public, Interne, Confidentiel, Très confidentiel)
• Documenter les flux de données (Data Flow Diagram) entre les composants AX360
• Identifier et documenter les propriétaires de données pour chaque dataset</t>
  </si>
  <si>
    <t>• Inventaire des données documenté et approuvé par le RSSI
• Classification appliquée dans BigQuery (labels sur datasets et tables)
• Data Flow Diagram validé par l'architecte</t>
  </si>
  <si>
    <t>- 09. Documentation inadéquate
- - 09. Documentation inadéquate
- 10. Architecture inadéquate
- 06. Contrôles et gestion inadéquats</t>
  </si>
  <si>
    <t>iA — Équipe Data / Architecte</t>
  </si>
  <si>
    <t>Mettre en place des contrôles de qualité des données dans le pipeline</t>
  </si>
  <si>
    <t>• Implémenter des règles de validation de qualité des données dans Datastream et les pipelines BigQuery
• Mettre en place des alertes sur les anomalies de qualité (données nulles, hors plage, doublons)
• Définir des métriques de qualité des données (complétude, exactitude, fraîcheur) et les monitorer
• Créer un processus d'anonymisation des données pour les environnements non-prod</t>
  </si>
  <si>
    <t>• Règles de validation actives dans le pipeline Datastream
• Alertes de qualité configurées dans Cloud Monitoring
• Rapport de qualité mensuel des données AX360
• Confirmation données anonymisées en dev/staging</t>
  </si>
  <si>
    <t>- 04. Conception inadéquate
- 05. Exécution défaillante
- 10. Architecture inadéquate</t>
  </si>
  <si>
    <t>iA — Équipe Data / Ateko</t>
  </si>
  <si>
    <t>R5, R6</t>
  </si>
  <si>
    <t>Journaliser l'accès aux données et activer la gestion des journaux</t>
  </si>
  <si>
    <t>• Mettre en place la journalisation d'accès aux données dans les bases Cloud SQL (pgAudit / audit logging MySQL)
• Activer les journaux d'accès aux données dans les services Cloud Run (requêtes et réponses)
• Centraliser les journaux dans Cloud Logging avec rétention ≥ 365 jours
• Mettre en place des alertes sur les accès anormaux aux données (volumes inhabituels, heures atypiques)</t>
  </si>
  <si>
    <t>• Logs d'accès activés dans Cloud SQL (SHOW VARIABLES LIKE 'general_log')
• Centralisations logs confirmée dans _Default bucket
• Alertes Cloud Monitoring sur accès anormaux</t>
  </si>
  <si>
    <t>- 06. Contrôles et gestion inadéquats
- 04. Conception inadéquate</t>
  </si>
  <si>
    <t>iA — Équipe Cloud / Data</t>
  </si>
  <si>
    <t>Améliorer la résilience du pipeline de données et la gestion de l'accessibilité</t>
  </si>
  <si>
    <t>• Documenter les dépendances critiques du pipeline de données (Datastream, Pub/Sub KYC, GraphQL)
• Mettre en place des mécanismes de dead letter policy sur tous les topics Pub/Sub
• Configurer des alertes sur les délais de traitement des données (lag Pub/Sub, Datastream)
• Tester les scénarios de coupure des intégrations externes et valider les mécanismes de fallback</t>
  </si>
  <si>
    <t>• Dead letter policy configurée sur tous les topics Pub/Sub (gcloud pubsub subscriptions list)
• Alertes sur lag Pub/Sub et Datastream configurées
• Compte-rendu des tests de résilience pipeline</t>
  </si>
  <si>
    <t>- 10. Architecture inadéquate
- 04. Conception inadéquate
- 05. Exécution défaillante</t>
  </si>
  <si>
    <t>R1, R2, R3, R4</t>
  </si>
  <si>
    <t>Évaluation formelle du risque tiers Ateko (OSFI B-10 §6)</t>
  </si>
  <si>
    <t>• Réaliser une évaluation formelle du risque tiers Ateko selon les exigences OSFI B-10 §6
• Réviser le contrat Ateko pour inclure : SLA de résolution, droits d'audit, obligations sécurité, clauses PIPEDA/Loi 25
• Mettre en place une revue trimestrielle des accès GCP Ateko par le RSSI iA
• Documenter la cartographie complète des accès Ateko sur les 4 projets GCP</t>
  </si>
  <si>
    <t>• Rapport d'évaluation risque tiers Ateko approuvé par la Direction
• Avenant contractuel signé
• Résultat revue trimestrielle IAM Ateko (gcloud projects get-iam-policy)</t>
  </si>
  <si>
    <t>- 14. Sécurité et contrôles inadéquats
- 17. Défaillance d'un tiers
- 09. Documentation inadéquate</t>
  </si>
  <si>
    <t>iA — RSSI / Direction</t>
  </si>
  <si>
    <t>R1, R2, R3, R4, R5, R6</t>
  </si>
  <si>
    <t>Mettre en place un processus de gestion des incidents de sécurité et notification réglementaire</t>
  </si>
  <si>
    <t>• Documenter le processus de notification réglementaire (OSFI B-10, PIPEDA, Loi 25) pour les incidents de sécurité
• Définir les critères de classification d'un incident de sécurité vs opérationnel
• Tester le processus de notification (exercice annuel)
• S'assurer que le délai de notification OPC (Loi 25) de 72h est intégré dans les procédures Ateko</t>
  </si>
  <si>
    <t>• Procédure de notification réglementaire documentée et approuvée
• Compte-rendu de l'exercice de test
• Critères de classification documentés et partagés avec Ateko</t>
  </si>
  <si>
    <t>iA — RSSI</t>
  </si>
  <si>
    <t>Risk Number</t>
  </si>
  <si>
    <t>Emplacement
Location</t>
  </si>
  <si>
    <t>Validation
Validation</t>
  </si>
  <si>
    <t>Date
Date</t>
  </si>
  <si>
    <t>Réviseur
Reviewer</t>
  </si>
  <si>
    <t>Exec summary - risks</t>
  </si>
  <si>
    <t>Numéro du risque</t>
  </si>
  <si>
    <t>Risk number</t>
  </si>
  <si>
    <t>Titre du risque</t>
  </si>
  <si>
    <t>Risk title</t>
  </si>
  <si>
    <t>Risque inhérent</t>
  </si>
  <si>
    <t>Inherent risk</t>
  </si>
  <si>
    <t>Efficacité des contrôles</t>
  </si>
  <si>
    <t>Control efficiency</t>
  </si>
  <si>
    <t>Justificatif d'efficacité</t>
  </si>
  <si>
    <t>Efficiency explaination</t>
  </si>
  <si>
    <t>Risque résiduel</t>
  </si>
  <si>
    <t>Residual risk</t>
  </si>
  <si>
    <t>Risque après plan d'action</t>
  </si>
  <si>
    <t>Risk after action plan</t>
  </si>
  <si>
    <t>Exec summary - action plan</t>
  </si>
  <si>
    <t>Plan d'action</t>
  </si>
  <si>
    <t>Action plan</t>
  </si>
  <si>
    <t>Actions</t>
  </si>
  <si>
    <t>Propriétaire</t>
  </si>
  <si>
    <t>Owner</t>
  </si>
  <si>
    <t>Date de début planifiée</t>
  </si>
  <si>
    <t>Planned start date</t>
  </si>
  <si>
    <t>Date de fin planifiée</t>
  </si>
  <si>
    <t>Planned end date</t>
  </si>
  <si>
    <t>Context and scope of the assessment</t>
  </si>
  <si>
    <t>Solution</t>
  </si>
  <si>
    <t>Contexte de la solution</t>
  </si>
  <si>
    <t>Solution context</t>
  </si>
  <si>
    <t>Objectif affaires</t>
  </si>
  <si>
    <t>Business objectives</t>
  </si>
  <si>
    <t>Portée de l'analyse</t>
  </si>
  <si>
    <t>Scope of the assessment</t>
  </si>
  <si>
    <t>Hors portée de l'analyse</t>
  </si>
  <si>
    <t>Out of scope of the assessment</t>
  </si>
  <si>
    <t>Actif</t>
  </si>
  <si>
    <t>Asset</t>
  </si>
  <si>
    <t>Nom de l'actif</t>
  </si>
  <si>
    <t>Asset name</t>
  </si>
  <si>
    <t>Catégorisation de l'actif - DIC​</t>
  </si>
  <si>
    <t>Categorisation - AIC</t>
  </si>
  <si>
    <t>Propriétaire de l'actif​</t>
  </si>
  <si>
    <t>Asset owner</t>
  </si>
  <si>
    <t>Mandataire de l'actif​</t>
  </si>
  <si>
    <t>Asset administrator</t>
  </si>
  <si>
    <t>Responsable de l'application​</t>
  </si>
  <si>
    <t>Asset responsible</t>
  </si>
  <si>
    <t>Secteur ou Ligne d’affaire concernée​</t>
  </si>
  <si>
    <t>Line of business</t>
  </si>
  <si>
    <t>Données</t>
  </si>
  <si>
    <t>Data</t>
  </si>
  <si>
    <t>Type de données​</t>
  </si>
  <si>
    <t>Data type</t>
  </si>
  <si>
    <t>Volumétrie des renseignements personnels​</t>
  </si>
  <si>
    <t>Number of personnal information</t>
  </si>
  <si>
    <t>Exposition des données​</t>
  </si>
  <si>
    <t>Data exposition</t>
  </si>
  <si>
    <t>Utilisateurs</t>
  </si>
  <si>
    <t>Users</t>
  </si>
  <si>
    <t>Nbr d’utilisateurs affaires​</t>
  </si>
  <si>
    <t>Number of Business users</t>
  </si>
  <si>
    <t>Nbr utilisateurs de support​</t>
  </si>
  <si>
    <t>Number of support users</t>
  </si>
  <si>
    <t>Nbr d’utilisateurs du partenaires externes​</t>
  </si>
  <si>
    <t>Number of third party users</t>
  </si>
  <si>
    <t>Risk summary</t>
  </si>
  <si>
    <t>Risque</t>
  </si>
  <si>
    <t>Risk</t>
  </si>
  <si>
    <t>Scénario</t>
  </si>
  <si>
    <t>Scenario</t>
  </si>
  <si>
    <t>Évaluation du risque</t>
  </si>
  <si>
    <t>Risk evaluation</t>
  </si>
  <si>
    <t>Risque final</t>
  </si>
  <si>
    <t>Final risk</t>
  </si>
  <si>
    <t>Nom du plan d'action</t>
  </si>
  <si>
    <t>Action plan name</t>
  </si>
  <si>
    <t>Évaluation des contrôles</t>
  </si>
  <si>
    <t>Controls evaluation</t>
  </si>
  <si>
    <t>Nom du contrôle</t>
  </si>
  <si>
    <t>Control Name</t>
  </si>
  <si>
    <t>Efficacité</t>
  </si>
  <si>
    <t>Efficiency</t>
  </si>
  <si>
    <t>Justificatif</t>
  </si>
  <si>
    <t>Justification</t>
  </si>
  <si>
    <t>Scénario de risque</t>
  </si>
  <si>
    <t>Risk scenario</t>
  </si>
  <si>
    <t>Probabilité</t>
  </si>
  <si>
    <t>Probability</t>
  </si>
  <si>
    <t>Impact</t>
  </si>
  <si>
    <t>Causes</t>
  </si>
  <si>
    <t>Risks</t>
  </si>
  <si>
    <t>Impacts</t>
  </si>
  <si>
    <t>EN</t>
  </si>
  <si>
    <t>Langue</t>
  </si>
  <si>
    <t>Language</t>
  </si>
  <si>
    <t>Date de mise à jour</t>
  </si>
  <si>
    <t>Update date</t>
  </si>
  <si>
    <t>Projet</t>
  </si>
  <si>
    <t>Project</t>
  </si>
  <si>
    <t>Nom du projet ou de l'analyse</t>
  </si>
  <si>
    <t>Project or assessment name</t>
  </si>
  <si>
    <t>Contexte de la solution et raison d'évaluation</t>
  </si>
  <si>
    <t>Solution Context and evaluation reason</t>
  </si>
  <si>
    <t>Date de début</t>
  </si>
  <si>
    <t>Start Date</t>
  </si>
  <si>
    <t>Date de mise en production</t>
  </si>
  <si>
    <t>Go Live Date</t>
  </si>
  <si>
    <t>Enjeu de sécurité</t>
  </si>
  <si>
    <t>Security issue</t>
  </si>
  <si>
    <t>Portée (applications, environnements, limites)</t>
  </si>
  <si>
    <t>Scope (applications, environments, limits)</t>
  </si>
  <si>
    <t>Inclus</t>
  </si>
  <si>
    <t>Included Components</t>
  </si>
  <si>
    <t>Exclus (i.e., composants précédemment évalués dans le cadre du champ d'application)</t>
  </si>
  <si>
    <t>Excluded Components (i.e., previously assessed components within scope)</t>
  </si>
  <si>
    <t>Hopex</t>
  </si>
  <si>
    <t>Asset Name</t>
  </si>
  <si>
    <t>ID Hopex</t>
  </si>
  <si>
    <t>Hopex ID</t>
  </si>
  <si>
    <t>Collaborateurs</t>
  </si>
  <si>
    <t>Collaborators</t>
  </si>
  <si>
    <t>Collaborateur désigné</t>
  </si>
  <si>
    <t>Designated collaborator</t>
  </si>
  <si>
    <t>Responsable d'application</t>
  </si>
  <si>
    <t>Application Manager</t>
  </si>
  <si>
    <t>Propriétaire d'actif</t>
  </si>
  <si>
    <t>Asset Owner</t>
  </si>
  <si>
    <t>Mandataire d'actif</t>
  </si>
  <si>
    <t>Asset Administrator</t>
  </si>
  <si>
    <t>Nom du responsable de la gestion des risques sectoriel (BRO)</t>
  </si>
  <si>
    <t>Name of the sectorial business risk officer (BRO)</t>
  </si>
  <si>
    <t>Conseiller en sécurité</t>
  </si>
  <si>
    <t>Security analyst</t>
  </si>
  <si>
    <t>Architecte/Concepteur Sécurité</t>
  </si>
  <si>
    <t>Security architect/conceptor</t>
  </si>
  <si>
    <t>Affaires (les informations de cette section doivent être fournies par le secteur d'affaires)</t>
  </si>
  <si>
    <t>Business (informations in this section must be provided by the Business sector)</t>
  </si>
  <si>
    <t>Objectifs affaires</t>
  </si>
  <si>
    <t>Business Objectives</t>
  </si>
  <si>
    <t>Secteur ou Ligne d’affaire</t>
  </si>
  <si>
    <t>Sector or Line of business</t>
  </si>
  <si>
    <t>Nombre d'utilisateurs ayant des droits d'accès</t>
  </si>
  <si>
    <t>Quantity of Users with Access</t>
  </si>
  <si>
    <t>Estimation du nombre d'utilisateurs aux fonctions d'affaires</t>
  </si>
  <si>
    <t>Approximate # of Business Users</t>
  </si>
  <si>
    <t xml:space="preserve">Estimation du nombre d'utilisateurs aux fonctions de support </t>
  </si>
  <si>
    <t>Approximate # of Support Users (IT, etc.)</t>
  </si>
  <si>
    <t xml:space="preserve">Estimation du nombre d'accès pour les partenaires externes </t>
  </si>
  <si>
    <t>Approximate # of Third Party (partners) Access</t>
  </si>
  <si>
    <t>Autres (ex : applications)</t>
  </si>
  <si>
    <t>Other (ex: applications)</t>
  </si>
  <si>
    <t>Types de données (ex. PII, données financières, etc.)</t>
  </si>
  <si>
    <t>Types of Data (ex., PII, Financial Data, etc.)</t>
  </si>
  <si>
    <t>Qté approximative de données sensibles</t>
  </si>
  <si>
    <t>Approximate Qty of Sensitive Data</t>
  </si>
  <si>
    <t>Cote de disponibilité</t>
  </si>
  <si>
    <t>Availability</t>
  </si>
  <si>
    <t>Cote d'intégrité</t>
  </si>
  <si>
    <t>Integrity</t>
  </si>
  <si>
    <t>Cote de confidentialité</t>
  </si>
  <si>
    <t>Confidentiality</t>
  </si>
  <si>
    <t>Technologie</t>
  </si>
  <si>
    <t>Technology</t>
  </si>
  <si>
    <t>Type de plate-forme</t>
  </si>
  <si>
    <t>Type of Platform</t>
  </si>
  <si>
    <t>L'actif est-il exposé sur internet ?</t>
  </si>
  <si>
    <t>Is the asset exposed on the internet?</t>
  </si>
  <si>
    <t>Drop down</t>
  </si>
  <si>
    <t>Yes</t>
  </si>
  <si>
    <t>No</t>
  </si>
  <si>
    <t>Interne</t>
  </si>
  <si>
    <t>Internal</t>
  </si>
  <si>
    <t>Web</t>
  </si>
  <si>
    <t>Externe (autre)</t>
  </si>
  <si>
    <t>External (other)</t>
  </si>
  <si>
    <t>1 - Low</t>
  </si>
  <si>
    <t>2 - Moderate</t>
  </si>
  <si>
    <t>3 - High</t>
  </si>
  <si>
    <t>4 - Very High</t>
  </si>
  <si>
    <t>Menu déroulant de choix</t>
  </si>
  <si>
    <t>Probabilité/Probability</t>
  </si>
  <si>
    <t>Niveau de risque/ risk level</t>
  </si>
  <si>
    <t>Rare</t>
  </si>
  <si>
    <t>Faible</t>
  </si>
  <si>
    <t>Low</t>
  </si>
  <si>
    <t>Peu probable</t>
  </si>
  <si>
    <t>Unlikely</t>
  </si>
  <si>
    <t>Modéré</t>
  </si>
  <si>
    <t>Moderate</t>
  </si>
  <si>
    <t>Likely</t>
  </si>
  <si>
    <t>Élevé</t>
  </si>
  <si>
    <t>high</t>
  </si>
  <si>
    <t>Très élevé</t>
  </si>
  <si>
    <t>very high</t>
  </si>
  <si>
    <t>Efficacité globale/Overall effectiveness</t>
  </si>
  <si>
    <t>Mineur</t>
  </si>
  <si>
    <t>Minor</t>
  </si>
  <si>
    <t>Efficace</t>
  </si>
  <si>
    <t>Effective</t>
  </si>
  <si>
    <t>Limited</t>
  </si>
  <si>
    <t>Partiellement efficace</t>
  </si>
  <si>
    <t>Partially effective</t>
  </si>
  <si>
    <t>Significant</t>
  </si>
  <si>
    <t>Non efficace</t>
  </si>
  <si>
    <t>Ineffective</t>
  </si>
  <si>
    <t>Major</t>
  </si>
  <si>
    <t>Niveau de risque/Risk level</t>
  </si>
  <si>
    <t>Risque résiduel/ Residual risk</t>
  </si>
  <si>
    <t>Niveau de risque PRR/ RISK LEVEL PRR</t>
  </si>
  <si>
    <t>Probability/Impact</t>
  </si>
  <si>
    <t>Niveau de risque/Efficacité globale</t>
  </si>
  <si>
    <t>Risk Level/ Overall effectiveness</t>
  </si>
  <si>
    <t>3 - Efficient</t>
  </si>
  <si>
    <t>2 - Partially efficient</t>
  </si>
  <si>
    <t>1 - Inefficient</t>
  </si>
  <si>
    <t>Risque inhérent/Efficacité finale</t>
  </si>
  <si>
    <t>non efficace</t>
  </si>
  <si>
    <t>Risk Level/ Final effectiveness</t>
  </si>
  <si>
    <t>ineffective</t>
  </si>
  <si>
    <t>2- Modéré</t>
  </si>
  <si>
    <t>3- Élevé</t>
  </si>
  <si>
    <t>4- Très élevé</t>
  </si>
  <si>
    <t>2- Moderate</t>
  </si>
  <si>
    <t>3- High</t>
  </si>
  <si>
    <t>4- Very High</t>
  </si>
  <si>
    <t>4- Very high</t>
  </si>
  <si>
    <t>1- Faible</t>
  </si>
  <si>
    <t>1- Low</t>
  </si>
  <si>
    <t>2-Moderate</t>
  </si>
  <si>
    <t>3-High</t>
  </si>
  <si>
    <t>Backlog</t>
  </si>
  <si>
    <t>Priorisé</t>
  </si>
  <si>
    <t>Prioritized</t>
  </si>
  <si>
    <t>En cours</t>
  </si>
  <si>
    <t>In progress</t>
  </si>
  <si>
    <t>Terminé</t>
  </si>
  <si>
    <t>Finished</t>
  </si>
  <si>
    <t>Refusé</t>
  </si>
  <si>
    <t>Refused</t>
  </si>
  <si>
    <t>Partiellement implémenté</t>
  </si>
  <si>
    <t>Partialy implemented</t>
  </si>
  <si>
    <t>Partiel</t>
  </si>
  <si>
    <t>Partial</t>
  </si>
  <si>
    <t>Non trouvé</t>
  </si>
  <si>
    <t>Not found</t>
  </si>
  <si>
    <t>NA</t>
  </si>
  <si>
    <t>IG</t>
  </si>
  <si>
    <t>Weight</t>
  </si>
  <si>
    <t>Réponse</t>
  </si>
  <si>
    <t>Answer</t>
  </si>
  <si>
    <t>SafeguardID</t>
  </si>
  <si>
    <t>CIS Control</t>
  </si>
  <si>
    <t>AssetTypeEN</t>
  </si>
  <si>
    <t>AssetTypeFR</t>
  </si>
  <si>
    <t>SecurityFunctionEN</t>
  </si>
  <si>
    <t>SecurityFunctionFR</t>
  </si>
  <si>
    <t>TitleEN</t>
  </si>
  <si>
    <t>TitleFR</t>
  </si>
  <si>
    <t>DescriptionEN</t>
  </si>
  <si>
    <t>DescriptionFR</t>
  </si>
  <si>
    <t>IG1</t>
  </si>
  <si>
    <t>IG2</t>
  </si>
  <si>
    <t>IG3</t>
  </si>
  <si>
    <t>In place</t>
  </si>
  <si>
    <t>CommentFR</t>
  </si>
  <si>
    <t>CommentEN</t>
  </si>
  <si>
    <t>Balise de couleur</t>
  </si>
  <si>
    <t>ID de ressource de conformité</t>
  </si>
  <si>
    <t>Type de contenu</t>
  </si>
  <si>
    <t>Créé par</t>
  </si>
  <si>
    <t>Modifié par</t>
  </si>
  <si>
    <t>Version</t>
  </si>
  <si>
    <t>Pièces jointes</t>
  </si>
  <si>
    <t>Modifier</t>
  </si>
  <si>
    <t>Type</t>
  </si>
  <si>
    <t>Nombre d'éléments enfants</t>
  </si>
  <si>
    <t>Nombre d’enfants du dossier</t>
  </si>
  <si>
    <t>Paramètres de l’étiquette</t>
  </si>
  <si>
    <t>Étiquette de rétention</t>
  </si>
  <si>
    <t>Étiquette de rétention appliquée</t>
  </si>
  <si>
    <t>Étiquette appliquée par</t>
  </si>
  <si>
    <t>L’élément est un enregistrement</t>
  </si>
  <si>
    <t>Application créée par</t>
  </si>
  <si>
    <t>Application modifiée par</t>
  </si>
  <si>
    <t>01.01</t>
  </si>
  <si>
    <t>CIS 01</t>
  </si>
  <si>
    <t>Devices</t>
  </si>
  <si>
    <t>Matériel / Appareil</t>
  </si>
  <si>
    <t>Identify</t>
  </si>
  <si>
    <t>Identifier</t>
  </si>
  <si>
    <t>Establish and Maintain Detailed Enterprise Asset Inventory</t>
  </si>
  <si>
    <t>Établir et tenir à jour un inventaire détaillé des actifs de l'entreprise</t>
  </si>
  <si>
    <t>Establish and maintain an accurate, detailed, and up-to-date inventory of all enterprise assets with the potential to store or process data, to include: end-user devices (including portable and mobile), network devices, non-computing/IoT devices, and servers. Ensure the inventory records the network address (if static), hardware address, machine name, enterprise asset owner, department for each asset, and whether the asset has been approved to connect to the network. For mobile end-user devices, MDM type tools can support this process, where appropriate. This inventory includes assets connected to the infrastructure physically, virtually, remotely, and those within cloud environments. Additionally, it includes assets that are regularly connected to the enterprise’s network infrastructure, even if they are not under control of the enterprise. Review and update the inventory of all enterprise assets bi-annually, or more frequently.</t>
  </si>
  <si>
    <t>Établir et tenir à jour un inventaire précis, détaillé et actualisé de tous les actifs de l'entreprise susceptibles de stocker ou de traiter des données, à savoir : les appareils des utilisateurs finaux (y compris les appareils portables et mobiles), les appareils du réseau, les appareils non informatiques/IoT et les serveurs. L'inventaire doit indiquer l'adresse réseau (si elle est statique), l'adresse du matériel, le nom de la machine, le propriétaire de l'actif de l'entreprise, le service pour chaque actif et si l'actif a été autorisé à se connecter au réseau. Pour les appareils mobiles des utilisateurs finaux, des outils de type MDM peuvent soutenir ce processus, le cas échéant. Cet inventaire comprend les biens connectés à l'infrastructure physiquement, virtuellement, à distance et ceux qui se trouvent dans des environnements en nuage. En outre, il inclut les actifs qui sont régulièrement connectés à l'infrastructure du réseau de l'entreprise, même s'ils ne sont pas sous le contrôle de l'entreprise. Examiner et mettre à jour l'inventaire de tous les actifs de l'entreprise deux fois par an, ou plus fréquemment.</t>
  </si>
  <si>
    <t>x</t>
  </si>
  <si>
    <t/>
  </si>
  <si>
    <t>* Si tous les composant de la solution sont inclus dans la CMDB, oui, sinon, non.</t>
  </si>
  <si>
    <t>* If all solution components are in the CMDB, yes. Otherwise, no.</t>
  </si>
  <si>
    <t>Item</t>
  </si>
  <si>
    <t>[List]</t>
  </si>
  <si>
    <t>6.0</t>
  </si>
  <si>
    <t>0</t>
  </si>
  <si>
    <t>OneDrive SyncEngine</t>
  </si>
  <si>
    <t>01.02</t>
  </si>
  <si>
    <t>Respond</t>
  </si>
  <si>
    <t>Répondre</t>
  </si>
  <si>
    <t>Address Unauthorized Assets</t>
  </si>
  <si>
    <t>Lutte contre les actifs non autorisés</t>
  </si>
  <si>
    <t>Ensure that a process exists to address unauthorized assets on a weekly basis. The enterprise may choose to remove the asset from the network, deny the asset from connecting remotely to the network, or quarantine the asset.</t>
  </si>
  <si>
    <t>S'assurer qu'il existe un processus permettant de traiter les biens non autorisés sur une base hebdomadaire. L'entreprise peut choisir de retirer l'actif du réseau, d'empêcher l'actif de se connecter à distance au réseau ou de le mettre en quarantaine.</t>
  </si>
  <si>
    <t>* Si l'actif est déployé sur le réseau d'iA, oui. Sinon, non.</t>
  </si>
  <si>
    <t>* If the asset is deployed on iA's network, yes. Otherwise, no.</t>
  </si>
  <si>
    <t>5.0</t>
  </si>
  <si>
    <t>01.03</t>
  </si>
  <si>
    <t>Detect</t>
  </si>
  <si>
    <t>Détecter</t>
  </si>
  <si>
    <t>Utilize an Active Discovery Tool</t>
  </si>
  <si>
    <t>Utiliser un outil de découverte active</t>
  </si>
  <si>
    <t>Utilize an active discovery tool to identify assets connected to the enterprise’s network. Configure the active discovery tool to execute daily, or more frequently.</t>
  </si>
  <si>
    <t>Utiliser un outil de découverte active pour identifier les actifs connectés au réseau de l'entreprise. Configurer l'outil de découverte active pour qu'il s'exécute quotidiennement ou plus fréquemment.</t>
  </si>
  <si>
    <t>3.0</t>
  </si>
  <si>
    <t>01.04</t>
  </si>
  <si>
    <t>Use Dynamic Host Configuration Protocol (DHCP) Logging to Update Enterprise Asset Inventory</t>
  </si>
  <si>
    <t>Utiliser le protocole de configuration dynamique de l'hôte (DHCP) pour mettre à jour l'inventaire des actifs de l'entreprise</t>
  </si>
  <si>
    <t>Use DHCP logging on all DHCP servers or Internet Protocol (IP) address management tools to update the enterprise’s asset inventory. Review and use logs to update the enterprise’s asset inventory weekly, or more frequently.</t>
  </si>
  <si>
    <t>Utiliser la journalisation DHCP sur tous les serveurs DHCP ou les outils de gestion des adresses IP (Internet Protocol) pour mettre à jour l'inventaire des actifs de l'entreprise. Examiner et utiliser les journaux pour mettre à jour l'inventaire des actifs de l'entreprise chaque semaine, ou plus fréquemment.</t>
  </si>
  <si>
    <t>1.0</t>
  </si>
  <si>
    <t>01.05</t>
  </si>
  <si>
    <t>Use a Passive Asset Discovery Tool</t>
  </si>
  <si>
    <t>Utiliser un outil de découverte d'actifs passifs</t>
  </si>
  <si>
    <t>Use a passive discovery tool to identify assets connected to the enterprise’s network. Review and use scans to update the enterprise’s asset inventory at least weekly, or more frequently.</t>
  </si>
  <si>
    <t>Utiliser un outil de découverte passive pour identifier les actifs connectés au réseau de l'entreprise. Examiner et utiliser les analyses pour mettre à jour l'inventaire des actifs de l'entreprise au moins une fois par semaine, voire plus fréquemment.</t>
  </si>
  <si>
    <t>02.01</t>
  </si>
  <si>
    <t>CIS 02</t>
  </si>
  <si>
    <t>Applications</t>
  </si>
  <si>
    <t>Logiciel</t>
  </si>
  <si>
    <t>Establish and Maintain a Software Inventory</t>
  </si>
  <si>
    <t>Établir et maintenir un inventaire des logiciels</t>
  </si>
  <si>
    <t>Establish and maintain a detailed inventory of all licensed software installed on enterprise assets. The software inventory must document the title, publisher, initial install/use date, and business purpose for each entry; where appropriate, include the Uniform Resource Locator (URL), app store(s), version(s), deployment mechanism, and decommission date. Review and update the software inventory bi-annually, or more frequently.</t>
  </si>
  <si>
    <t>Établir et tenir à jour un inventaire détaillé de tous les logiciels sous licence installés sur les biens de l'entreprise. L'inventaire des logiciels doit indiquer le titre, l'éditeur, la date d'installation/d'utilisation initiale et l'objectif commercial de chaque entrée ; le cas échéant, il doit inclure l'URL (Uniform Resource Locator), le(s) magasin(s) d'applications, la(les) version(s), le mécanisme de déploiement et la date de mise hors service. Examiner et mettre à jour l'inventaire des logiciels deux fois par an, ou plus fréquemment.</t>
  </si>
  <si>
    <t>* Si l'actif est ajouté dans Hopex et qu'il est bien documenté, oui. Sinon, non.</t>
  </si>
  <si>
    <t>* If the asset is added in Hopex and is well documented, yes. Otherwise, no.</t>
  </si>
  <si>
    <t>02.02</t>
  </si>
  <si>
    <t xml:space="preserve">Ensure Authorized Software is Currently Supported </t>
  </si>
  <si>
    <t xml:space="preserve">S'assurer que les logiciels autorisés sont actuellement pris en charge </t>
  </si>
  <si>
    <t>Ensure that only currently supported software is designated as authorized in the software inventory for enterprise assets. If software is unsupported, yet necessary for the fulfillment of the enterprise’s mission, document an exception detailing mitigating controls and residual risk acceptance. For any unsupported software without an exception documentation, designate as unauthorized. Review the software list to verify software support at least monthly, or more frequently.</t>
  </si>
  <si>
    <t>Veiller à ce que seuls les logiciels actuellement pris en charge soient désignés comme autorisés dans l'inventaire des logiciels pour les actifs de l'entreprise. Si un logiciel n'est pas pris en charge, mais qu'il est nécessaire à l'accomplissement de la mission de l'entreprise, documenter une exception détaillant les contrôles d'atténuation et l'acceptation du risque résiduel. Pour tout logiciel non pris en charge et ne faisant pas l'objet d'une documentation d'exception, le désigner comme non autorisé. Examiner la liste des logiciels pour vérifier leur prise en charge au moins une fois par mois, ou plus fréquemment.</t>
  </si>
  <si>
    <t>* Si dans le réseau d'iA, les logiciels non autorisés sont identifiés.</t>
  </si>
  <si>
    <t>* If in iA's network, unauthorized software are identified.</t>
  </si>
  <si>
    <t>02.03</t>
  </si>
  <si>
    <t>Address Unauthorized Software</t>
  </si>
  <si>
    <t>Lutter contre les logiciels non autorisés</t>
  </si>
  <si>
    <t>Ensure that unauthorized software is either removed from use on enterprise assets or receives a documented exception. Review monthly, or more frequently.</t>
  </si>
  <si>
    <t>Veiller à ce que les logiciels non autorisés soient retirés des actifs de l'entreprise ou fassent l'objet d'une exception documentée. Révision mensuelle ou plus fréquente.</t>
  </si>
  <si>
    <t>* Si dans le réseau d'iA, les logiciels non autorisés ne sont pas systématiquement supprimés.</t>
  </si>
  <si>
    <t>* If in iA's network, unauthorized software is not systematically removed.</t>
  </si>
  <si>
    <t>4.0</t>
  </si>
  <si>
    <t>02.04</t>
  </si>
  <si>
    <t>Utilize Automated Software Inventory Tools</t>
  </si>
  <si>
    <t>Utiliser des outils automatisés d'inventaire des logiciels</t>
  </si>
  <si>
    <t xml:space="preserve">Utilize software inventory tools, when possible, throughout the enterprise to automate the discovery and documentation of installed software. </t>
  </si>
  <si>
    <t xml:space="preserve">Utiliser, si possible, des outils d'inventaire des logiciels dans toute l'entreprise pour automatiser la découverte et la documentation des logiciels installés. </t>
  </si>
  <si>
    <t>* Les postes de travail d'entreprise sont intégrés dans Intune, par contre, les serveurs et l'infrastructure ne sont pas couverts.</t>
  </si>
  <si>
    <t>* End user devices are integrated in Intune, however, servers and infrastructure are not covered.</t>
  </si>
  <si>
    <t>02.05</t>
  </si>
  <si>
    <t>Protect</t>
  </si>
  <si>
    <t>Protéger</t>
  </si>
  <si>
    <t>Allowlist Authorized Software</t>
  </si>
  <si>
    <t>Logiciels autorisés par Liste d'autorisations</t>
  </si>
  <si>
    <t>Use technical controls, such as application allowlisting, to ensure that only authorized software can execute or be accessed. Reassess bi-annually, or more frequently.</t>
  </si>
  <si>
    <t>Utiliser des contrôles techniques, tels que des listes d'autorisation d'applications, pour s'assurer que seuls les logiciels autorisés peuvent s'exécuter ou être consultés. Réévaluer deux fois par an, ou plus fréquemment.</t>
  </si>
  <si>
    <t>* Si dans le réseau d'iA, il est possible d'installer et de déployer des logiciels non autorisés.</t>
  </si>
  <si>
    <t>* If in iA's network, it is possible to install and deploy unauthorized softwares.</t>
  </si>
  <si>
    <t>2.0</t>
  </si>
  <si>
    <t>02.06</t>
  </si>
  <si>
    <t>Allowlist Authorized Libraries</t>
  </si>
  <si>
    <t>Liste des bibliothèques autorisées par Liste d'autorisations</t>
  </si>
  <si>
    <t>Use technical controls to ensure that only authorized software libraries, such as specific .dll, .ocx, .so, etc., files, are allowed to load into a system process. Block unauthorized libraries from loading into a system process. Reassess bi-annually, or more frequently.</t>
  </si>
  <si>
    <t xml:space="preserve"> Utiliser des contrôles techniques pour s'assurer que seules les bibliothèques logicielles autorisées, telles que les fichiers .dll, .ocx et .so, sont autorisées à être chargées dans un processus système. Empêcher les bibliothèques non autorisées de se charger dans un processus système. Réévaluer deux fois par an ou plus fréquemment.</t>
  </si>
  <si>
    <t>* Si dans le réseau d'iA, les librairies sur nos postes de travail comme dans les applications développées ne sont pas limitées.</t>
  </si>
  <si>
    <t>* If in iA's network, libraries on our computers and in developped softwares are not limited.</t>
  </si>
  <si>
    <t>02.07</t>
  </si>
  <si>
    <t>Allowlist Authorized Scripts</t>
  </si>
  <si>
    <t>Liste des scripts autorisés par Liste d'autorisations</t>
  </si>
  <si>
    <t>Use technical controls, such as digital signatures and version control, to ensure that only authorized scripts, such as specific .ps1, .py, etc., files, are allowed to execute. Block unauthorized scripts from executing. Reassess bi-annually, or more frequently.</t>
  </si>
  <si>
    <t>Utilisez des contrôles techniques, tels que les signatures numériques et le contrôle des versions, pour vous assurer que seuls les scripts autorisés, tels que les fichiers .ps1 et .py spécifiques, sont autorisés à s'exécuter. Empêcher les scripts non autorisés de s'exécuter. Réévaluer deux fois par an ou plus fréquemment.</t>
  </si>
  <si>
    <t>* Tous les scripts peuvent être exécutés.</t>
  </si>
  <si>
    <t>* All scripts can be executed.</t>
  </si>
  <si>
    <t>03.01</t>
  </si>
  <si>
    <t>CIS 03</t>
  </si>
  <si>
    <t>Donnée</t>
  </si>
  <si>
    <t>Gouverner</t>
  </si>
  <si>
    <t>Establish and Maintain a Data Management Process</t>
  </si>
  <si>
    <t>Établir et maintenir un processus de gestion des données</t>
  </si>
  <si>
    <t>Establish and maintain a data management process. In the process, address data sensitivity, data owner, handling of data, data retention limits, and disposal requirements, based on sensitivity and retention standards for the enterprise. Review and update documentation annually, or when significant enterprise changes occur that could impact this Safeguard.</t>
  </si>
  <si>
    <t>Établir et maintenir un processus documenté de gestion des données. Dans le cadre de ce processus, la sensibilité des données, le propriétaire des données, le traitement des données, les limites de conservation des données et les exigences en matière d'élimination doivent être pris en compte, sur la base des normes de sensibilité et de conservation en vigueur dans l'entreprise. Réviser et mettre à jour la documentation chaque année, ou lorsque des changements importants interviennent dans l'entreprise et pourraient avoir une incidence sur cette mesure de sauvegarde.</t>
  </si>
  <si>
    <t>* Si intégré à Collibra, oui. Sinon, non.</t>
  </si>
  <si>
    <t>If integrated to Collibra, yes. Otherwise, no.</t>
  </si>
  <si>
    <t>03.02</t>
  </si>
  <si>
    <t>Establish and Maintain a Data Inventory</t>
  </si>
  <si>
    <t>Établir et maintenir un inventaire des données</t>
  </si>
  <si>
    <t>Establish and maintain a data inventory, based on the enterprise’s data management process. Inventory sensitive data, at a minimum. Review and update inventory annually, at a minimum, with a priority on sensitive data.</t>
  </si>
  <si>
    <t>Établir et tenir à jour un inventaire des données basé sur le processus de gestion des données de l'entreprise. Inventorier les données sensibles au moins une fois par an. Réviser et mettre à jour l'inventaire au moins une fois par an, en accordant la priorité aux données sensibles.</t>
  </si>
  <si>
    <t>03.03</t>
  </si>
  <si>
    <t>Configure Data Access Control Lists</t>
  </si>
  <si>
    <t>Configuration des listes de contrôle d'accès aux données</t>
  </si>
  <si>
    <t>Configure data access control lists based on a user’s need to know. Apply data access control lists, also known as access permissions, to local and remote file systems, databases, and applications.</t>
  </si>
  <si>
    <t>Configurer les listes de contrôle d'accès aux données en fonction du besoin d'en connaître de l'utilisateur. Appliquer des listes de contrôle d'accès aux données, également connues sous le nom d'autorisations d'accès, aux systèmes de fichiers locaux et distants, aux bases de données et aux applications.</t>
  </si>
  <si>
    <t>03.04</t>
  </si>
  <si>
    <t>Enforce Data Retention</t>
  </si>
  <si>
    <t>Appliquer la conservation des données</t>
  </si>
  <si>
    <t>Retain data according to the enterprise’s data management process. Data retention must include both minimum and maximum timelines.</t>
  </si>
  <si>
    <t>Conserver les données conformément au processus documenté de gestion des données de l'entreprise. La conservation des données doit comprendre des délais minimums et maximums.</t>
  </si>
  <si>
    <t>03.05</t>
  </si>
  <si>
    <t>Securely Dispose of Data</t>
  </si>
  <si>
    <t>Éliminer les données en toute sécurité</t>
  </si>
  <si>
    <t>Securely dispose of data as outlined in the enterprise’s data management process. Ensure the disposal process and method are commensurate with the data sensitivity.</t>
  </si>
  <si>
    <t>Éliminer les données en toute sécurité, conformément au processus documenté de gestion des données de l'entreprise. Veiller à ce que le processus et la méthode d'élimination soient proportionnels à la sensibilité des données.</t>
  </si>
  <si>
    <t>03.06</t>
  </si>
  <si>
    <t>Encrypt Data on End-User Devices</t>
  </si>
  <si>
    <t>Chiffrer les données sur les appareils des utilisateurs finaux</t>
  </si>
  <si>
    <t>Encrypt data on end user devices, including workstations, laptops, tablets, and smartphones containing sensitive data. Example implementations include, but are not limited to, Windows BitLocker, Apple FileVault, Linux dm-crypt.</t>
  </si>
  <si>
    <t>Chiffrer les données sur les appareils des utilisateurs finaux contenant des données sensibles. Les exemples de mise en œuvre sont les suivants : Windows BitLocker®, Apple FileVault Windows BitLocker®, Apple FileVault®, Linux® dm-crypt.</t>
  </si>
  <si>
    <t>* Si un poste corporatif, oui. Sinon, à valider si BitDefender est activé.</t>
  </si>
  <si>
    <t>* If corporate computer, yes. Otherwise, validate if BitLocker is enabled.</t>
  </si>
  <si>
    <t>03.07</t>
  </si>
  <si>
    <t>Establish and Maintain a Data Classification Scheme</t>
  </si>
  <si>
    <t>Établir et maintenir un système de classification des données</t>
  </si>
  <si>
    <t>Establish and maintain an overall data classification scheme for the enterprise. Enterprises may use labels, such as “Sensitive,” “Confidential,” and “Public,” and classify their data according to those labels. Review and update the classification scheme annually, or when significant enterprise changes occur that could impact this Safeguard.</t>
  </si>
  <si>
    <t>Établir et maintenir un système global de classification des données pour l'entreprise. Les entreprises peuvent utiliser des étiquettes, telles que « sensible », « confidentiel » et « public », et classer leurs données en fonction de ces étiquettes. Réviser et mettre à jour le système de classification chaque année, ou lorsque des changements importants interviennent dans l'entreprise et pourraient avoir une incidence sur cette mesure de sauvegarde.</t>
  </si>
  <si>
    <t>03.08</t>
  </si>
  <si>
    <t>Document Data Flows</t>
  </si>
  <si>
    <t>Flux de données des documents</t>
  </si>
  <si>
    <t>Document data flows. Data flow documentation includes service provider data flows and should be based on the enterprise’s data management process. Review and update documentation annually, or when significant enterprise changes occur that could impact this Safeguard.</t>
  </si>
  <si>
    <t>Documenter les flux de données. La documentation des flux de données comprend les flux de données des fournisseurs de services et doit être basée sur le processus de gestion des données de l'entreprise. La documentation doit être revue et mise à jour chaque année, ou lorsque des changements importants au sein de l'entreprise sont susceptibles d'avoir une incidence sur cette mesure de sauvegarde.</t>
  </si>
  <si>
    <t>03.09</t>
  </si>
  <si>
    <t>Encrypt Data on Removable Media</t>
  </si>
  <si>
    <t>Chiffrer des données sur des supports amovibles</t>
  </si>
  <si>
    <t>Encrypt data on removable media.</t>
  </si>
  <si>
    <t>Chiffrer les données sur les supports amovibles.</t>
  </si>
  <si>
    <t>* Si poste corporatif, les stockages externes sont bloqués. Sinon, valider.</t>
  </si>
  <si>
    <t>* If corporate computers, external storage is blocked. Otherwise, validate.</t>
  </si>
  <si>
    <t>03.10</t>
  </si>
  <si>
    <t>Encrypt Sensitive Data in Transit</t>
  </si>
  <si>
    <t>Chiffrer les données sensibles en transit</t>
  </si>
  <si>
    <t>Encrypt sensitive data in transit. Example implementations can include: Transport Layer Security (TLS) and Open Secure Shell (OpenSSH).</t>
  </si>
  <si>
    <t>Chiffrer les données sensibles en transit. Les exemples de mise en œuvre sont les suivants : Transport Layer Security (TLS) et Open Secure Shell (OpenSSH).</t>
  </si>
  <si>
    <t>03.11</t>
  </si>
  <si>
    <t>Encrypt Sensitive Data at Rest</t>
  </si>
  <si>
    <t>Chiffrer les données sensibles au repos</t>
  </si>
  <si>
    <t xml:space="preserve">Encrypt sensitive data at rest on servers, applications, and databases containing sensitive data. Storage-layer encryption, also known as server-side encryption, meets the minimum requirement of this Safeguard. Additional encryption methods may include application-layer encryption, also known as client-side encryption, where access to the data storage device(s) does not permit access to the plain-text data. </t>
  </si>
  <si>
    <t xml:space="preserve">Chiffrer les données sensibles au repos sur les serveurs, les applications et les bases de données. Le cryptage de la couche de stockage, également connu sous le nom de cryptage côté serveur, répond à l'exigence minimale de cette mesure de sauvegarde. D'autres méthodes de cryptage peuvent inclure le cryptage de la couche application, également connu sous le nom de cryptage côté client, lorsque l'accès au(x) dispositif(s) de stockage des données ne permet pas d'accéder aux données en texte clair. </t>
  </si>
  <si>
    <t>03.12</t>
  </si>
  <si>
    <t>Network</t>
  </si>
  <si>
    <t>Segment Data Processing and Storage Based on Sensitivity</t>
  </si>
  <si>
    <t>Segmenter le traitement et le stockage des données en fonction de leur sensibilité</t>
  </si>
  <si>
    <t>Segment data processing and storage based on the sensitivity of the data. Do not process sensitive data on enterprise assets intended for lower sensitivity data.</t>
  </si>
  <si>
    <t>Segmenter le traitement et le stockage des données en fonction de leur sensibilité. Ne traitez pas de données sensibles sur des actifs de l'entreprise destinés à des données moins sensibles.</t>
  </si>
  <si>
    <t>03.13</t>
  </si>
  <si>
    <t>Deploy a Data Loss Prevention Solution</t>
  </si>
  <si>
    <t>Déployer une solution de prévention de la perte de données
Data Loss Prevention Solution (DLP)</t>
  </si>
  <si>
    <t>Implement an automated tool, such as a host-based Data Loss Prevention (DLP) tool to identify all sensitive data stored, processed, or transmitted through enterprise assets, including those located onsite or at a remote service provider, and update the enterprise's sensitive data inventory.</t>
  </si>
  <si>
    <t>Mettre en œuvre un outil automatisé, tel qu'un outil de prévention des pertes de données (DLP) basé sur l'hôte, afin d'identifier toutes les données sensibles stockées, traitées ou transmises par les actifs de l'entreprise, y compris ceux situés sur le site ou chez un fournisseur de services distant, et mettre à jour l'inventaire des données de l'entreprise.</t>
  </si>
  <si>
    <t>* Le DLP corporatif est absent.</t>
  </si>
  <si>
    <t>* There is no corporate DLP.</t>
  </si>
  <si>
    <t>03.14</t>
  </si>
  <si>
    <t>Log Sensitive Data Access</t>
  </si>
  <si>
    <t>Logs : Enregistrer l'accès aux données sensibles</t>
  </si>
  <si>
    <t xml:space="preserve">Log sensitive data access, including modification and disposal. </t>
  </si>
  <si>
    <t xml:space="preserve">Enregistrer l'accès aux données sensibles, y compris leur modification et leur élimination. </t>
  </si>
  <si>
    <t>* Si BD corporative, l'accès aux données n'est pas journalisé.</t>
  </si>
  <si>
    <t>* If corporate database, data access is not logged.</t>
  </si>
  <si>
    <t>04.01</t>
  </si>
  <si>
    <t>CIS 04</t>
  </si>
  <si>
    <t>Documentation</t>
  </si>
  <si>
    <t>Establish and Maintain a Secure Configuration Process</t>
  </si>
  <si>
    <t>Établir et maintenir un processus de configuration sécurisé</t>
  </si>
  <si>
    <t>Establish and maintain a secure configuration process for enterprise assets (end-user devices, including portable and mobile, non-computing/IoT devices, and servers) and software (operating systems and applications). Review and update documentation annually, or when significant enterprise changes occur that could impact this Safeguard.</t>
  </si>
  <si>
    <t>Établir et maintenir un processus de configuration sécurisée documenté pour les actifs de l'entreprise (dispositifs de l'utilisateur final, y compris portables et mobiles, dispositifs non informatiques/IoT, et serveurs) et les logiciels (systèmes d'exploitation et applications). Examiner et mettre à jour la documentation chaque année, ou lorsque des changements importants au sein de l'entreprise se produisent et pourraient avoir un impact sur cette mesure de sauvegarde.</t>
  </si>
  <si>
    <t>04.02</t>
  </si>
  <si>
    <t>Establish and Maintain a Secure Configuration Process for Network Infrastructure</t>
  </si>
  <si>
    <t>Établir et maintenir un processus de configuration sécurisé pour l'infrastructure du réseau</t>
  </si>
  <si>
    <t>Establish and maintain a secure configuration process for network devices. Review and update documentation annually, or when significant enterprise changes occur that could impact this Safeguard.</t>
  </si>
  <si>
    <t>Établir et maintenir un processus de configuration sécurisé et documenté pour les dispositifs du réseau. Examiner et mettre à jour la documentation chaque année, ou lorsque des changements importants interviennent dans l'entreprise et pourraient avoir une incidence sur cette mesure de sauvegarde.</t>
  </si>
  <si>
    <t>04.03</t>
  </si>
  <si>
    <t>Configure Automatic Session Locking on Enterprise Assets</t>
  </si>
  <si>
    <t>Configurer le verrouillage automatique des sessions sur les biens d'entreprise</t>
  </si>
  <si>
    <t>Configure automatic session locking on enterprise assets after a defined period of inactivity. For general purpose operating systems, the period must not exceed 15 minutes. For mobile end-user devices, the period must not exceed 2 minutes.</t>
  </si>
  <si>
    <t>Configurer le verrouillage automatique des sessions sur les ressources de l'entreprise après une période d'inactivité définie. Pour les systèmes d'exploitation généraux, la période ne doit pas dépasser 15 minutes. Pour les appareils mobiles des utilisateurs finaux, la période ne doit pas dépasser deux (2) minutes.</t>
  </si>
  <si>
    <t>* Si poste de travail corporatif, un verrouillage automatique est configuré.</t>
  </si>
  <si>
    <t>* If corporate computer, automatic lock is configured.</t>
  </si>
  <si>
    <t>04.04</t>
  </si>
  <si>
    <t>Implement and Manage a Firewall on Servers</t>
  </si>
  <si>
    <t>Mettre en œuvre et gérer un pare-feu sur les serveurs</t>
  </si>
  <si>
    <t>Implement and manage a firewall on servers, where supported. Example implementations include a virtual firewall, operating system firewall, or a third-party firewall agent.</t>
  </si>
  <si>
    <t>Mettre en œuvre et gérer un pare-feu sur les serveurs, le cas échéant. Les exemples d'implémentation incluent un pare-feu virtuel, un pare-feu de système d'exploitation ou un agent de pare-feu tiers.</t>
  </si>
  <si>
    <t>* Si postes corporatifs et serveurs corporatifs, les parre-feu ne sont pas configurés.</t>
  </si>
  <si>
    <t>* If corporate computers or servers, firewalls are not configured on those.</t>
  </si>
  <si>
    <t>04.05</t>
  </si>
  <si>
    <t>Implement and Manage a Firewall on End-User Devices</t>
  </si>
  <si>
    <t>Mise en œuvre et gestion d'un pare-feu sur les appareils des utilisateurs finaux</t>
  </si>
  <si>
    <t>Implement and manage a host-based firewall or port-filtering tool on end-user devices, with a default-deny rule that drops all traffic except those services and ports that are explicitly allowed.</t>
  </si>
  <si>
    <t>Mettre en œuvre et gérer un pare-feu basé sur l'hôte ou un outil de filtrage des ports sur les appareils des utilisateurs finaux, avec une règle de refus par défaut qui bloque tout le trafic à l'exception des services et des ports explicitement autorisés.</t>
  </si>
  <si>
    <t>04.06</t>
  </si>
  <si>
    <t>Securely Manage Enterprise Assets and Software</t>
  </si>
  <si>
    <t>Gérer en toute sécurité les actifs et les logiciels de l'entreprise</t>
  </si>
  <si>
    <t>Securely manage enterprise assets and software. Example implementations include managing configuration through version-controlled-infrastructure-as-code and accessing administrative interfaces over secure network protocols, such as Secure Shell (SSH) and Hypertext Transfer Protocol Secure (HTTPS). Do not use insecure management protocols, such as Telnet (Teletype Network) and HTTP, unless operationally essential.</t>
  </si>
  <si>
    <t>Gérer en toute sécurité les actifs et les logiciels de l'entreprise. Les exemples de mise en œuvre comprennent la gestion de la configuration par le biais d'une infrastructure en tant que code (IaC) contrôlée par version et l'accès aux interfaces administratives par le biais de protocoles réseau sécurisés, tels que Secure Shell (SSH) et Hypertext Transfer Protocol Secure (HTTPS). N'utilisez pas de protocoles de gestion non sécurisés, tels que Telnet (Teletype Network) et HTTP, à moins qu'ils ne soient essentiels du point de vue opérationnel.</t>
  </si>
  <si>
    <t>04.07</t>
  </si>
  <si>
    <t>Manage Default Accounts on Enterprise Assets and Software</t>
  </si>
  <si>
    <t>Gérer les comptes par défaut des biens et logiciels de l'entreprise</t>
  </si>
  <si>
    <t>Manage default accounts on enterprise assets and software, such as root, administrator, and other pre-configured vendor accounts. Example implementations can include: disabling default accounts or making them unusable.</t>
  </si>
  <si>
    <t>Gérer les comptes par défaut sur les biens et les logiciels de l'entreprise, tels que les comptes « root », « administrateur » et autres comptes fournisseurs préconfigurés. Exemples de mise en œuvre : désactiver les comptes par défaut ou les rendre inutilisables.</t>
  </si>
  <si>
    <t>04.08</t>
  </si>
  <si>
    <t>Uninstall or Disable Unnecessary Services on Enterprise Assets and Software</t>
  </si>
  <si>
    <t>Désinstaller ou désactiver les services inutiles sur les biens et les logiciels de l'entreprise</t>
  </si>
  <si>
    <t>Uninstall or disable unnecessary services on enterprise assets and software, such as an unused file sharing service, web application module, or service function.</t>
  </si>
  <si>
    <t>Désinstaller ou désactiver les services inutiles sur les actifs et les logiciels de l'entreprise, tels qu'un service de partage de fichiers, un module d'application web ou une fonction de service inutilisés.</t>
  </si>
  <si>
    <t>04.09</t>
  </si>
  <si>
    <t>Configure Trusted DNS Servers on Enterprise Assets</t>
  </si>
  <si>
    <t>Configurer des serveurs DNS de confiance sur les biens de l'entreprise</t>
  </si>
  <si>
    <t xml:space="preserve">Configure trusted DNS servers on enterprise assets. Example implementations include: configuring assets to use enterprise-controlled DNS servers and/or reputable externally accessible DNS servers. </t>
  </si>
  <si>
    <t>Configurer des serveurs DNS de confiance sur l'infrastructure du réseau. Les exemples de mise en œuvre comprennent la configuration des dispositifs de réseau pour utiliser des serveurs DNS contrôlés par l'entreprise et/ou des serveurs DNS réputés accessibles de l'extérieur.</t>
  </si>
  <si>
    <t>04.10</t>
  </si>
  <si>
    <t>Enforce Automatic Device Lockout on Portable End-User Devices</t>
  </si>
  <si>
    <t>Appliquer le verrouillage automatique des appareils portables des utilisateurs finaux</t>
  </si>
  <si>
    <t>Enforce automatic device lockout following a predetermined threshold of local failed authentication attempts on portable end-user devices, where supported. For laptops, do not allow more than 20 failed authentication attempts; for tablets and smartphones, no more than 10 failed authentication attempts. Example implementations include Microsoft® InTune Device Lock and Apple® Configuration Profile maxFailedAttempts.</t>
  </si>
  <si>
    <t>Appliquer le verrouillage automatique des appareils après un seuil prédéterminé de tentatives d'authentification locales infructueuses sur les appareils portables de l'utilisateur final, lorsque cela est possible. Pour les ordinateurs portables, ne pas autoriser plus de 20 tentatives d'authentification infructueuses ; pour les tablettes et les smartphones, pas plus de 10 tentatives d'authentification infructueuses. Parmi les exemples de mise en œuvre, citons Microsoft® InTune Matériel / Appareil Lock et Apple® Configuration Profile maxFailedAttempts.</t>
  </si>
  <si>
    <t>04.11</t>
  </si>
  <si>
    <t>Enforce Remote Wipe Capability on Portable End-User Devices</t>
  </si>
  <si>
    <t>Renforcer la capacité d'effacement à distance sur les appareils portables des utilisateurs finaux</t>
  </si>
  <si>
    <t>Remotely wipe enterprise data from enterprise-owned portable end-user devices when deemed appropriate such as lost or stolen devices, or when an individual no longer supports the enterprise.</t>
  </si>
  <si>
    <t>Effacer à distance les données de l'entreprise des appareils portables des utilisateurs finaux appartenant à l'entreprise lorsque cela est jugé nécessaire, par exemple en cas de perte ou de vol d'un appareil, ou lorsqu'une personne ne fait plus partie de l'entreprise.</t>
  </si>
  <si>
    <t>04.12</t>
  </si>
  <si>
    <t>Separate Enterprise Workspaces on Mobile End-User Devices</t>
  </si>
  <si>
    <t>Séparer les espaces de travail de l'entreprise sur les appareils mobiles des utilisateurs finaux</t>
  </si>
  <si>
    <t>Ensure separate enterprise workspaces are used on mobile end-user devices, where supported. Example implementations include using an Apple® Configuration Profile or Android™ Work Profile to separate enterprise applications and data from personal applications and data.</t>
  </si>
  <si>
    <t>Veiller à ce que des espaces de travail d'entreprise distincts soient utilisés sur les appareils mobiles des utilisateurs finaux, lorsqu'ils sont pris en charge. Les exemples de mise en œuvre comprennent l'utilisation d'un profil de configuration Apple® ou d'un profil de travail Android™ pour séparer les applications et les données de l'entreprise des applications et des données personnelles.</t>
  </si>
  <si>
    <t>* S'assurer que des règles d'accès conditionnel soient en place pour exiger l'utilisation de l'espace d'entreprise.</t>
  </si>
  <si>
    <t>* Ensure that conditionnal access rules are in place to force the usage of the enterprice space.</t>
  </si>
  <si>
    <t>05.01</t>
  </si>
  <si>
    <t>CIS 05</t>
  </si>
  <si>
    <t>Establish and Maintain an Inventory of Accounts</t>
  </si>
  <si>
    <t>Établir et tenir à jour un inventaire des comptes</t>
  </si>
  <si>
    <t>Establish and maintain an inventory of all accounts managed in the enterprise. The inventory must include both user and administrator accounts. The inventory, at a minimum, should contain the person’s name, username, start/stop dates, and department. Validate that all active accounts are authorized, on a recurring schedule at a minimum quarterly, or more frequently.</t>
  </si>
  <si>
    <t>Établir et tenir à jour un inventaire de tous les comptes gérés dans l'entreprise. L'inventaire doit au minimum inclure les comptes utilisateurs, les comptes administrateurs et les comptes de service. L'inventaire doit au moins contenir le nom de la personne, son nom d'utilisateur, les dates de début et de fin et le service. Valider que tous les comptes actifs sont autorisés, selon un calendrier récurrent au minimum trimestriel, ou plus fréquemment.</t>
  </si>
  <si>
    <t>* Si compte locaux non. Si compte dans EntraID ou Okta seulement, oui.</t>
  </si>
  <si>
    <t>* If local account, no. If accounts in EntraID or Okta only, yes.</t>
  </si>
  <si>
    <t>05.02</t>
  </si>
  <si>
    <t>Use Unique Passwords</t>
  </si>
  <si>
    <t>Utiliser des mots de passe uniques</t>
  </si>
  <si>
    <t xml:space="preserve">Use unique passwords for all enterprise assets. Best practice implementation includes, at a minimum, an 8-character password for accounts using MFA and a 14-character password for accounts not using MFA. </t>
  </si>
  <si>
    <t xml:space="preserve">Utiliser des mots de passe uniques pour tous les actifs de l'entreprise. Les meilleures pratiques comprennent, au minimum, un mot de passe de 8 caractères pour les comptes utilisant l'authentification multifactorielle (MFA) et un mot de passe de 14 caractères pour les comptes n'utilisant pas l'authentification multifactorielle. </t>
  </si>
  <si>
    <t>* Si uniquement EntraID, oui; Si Okta, non; Si compte local, à valider.</t>
  </si>
  <si>
    <t>* If only EntraID, yes; If Okta, no; If local account, to review.</t>
  </si>
  <si>
    <t>05.03</t>
  </si>
  <si>
    <t>Disable Dormant Accounts</t>
  </si>
  <si>
    <t>Désactiver les comptes dormants</t>
  </si>
  <si>
    <t>Delete or disable any dormant accounts after a period of 45 days of inactivity, where supported.</t>
  </si>
  <si>
    <t>Supprimer ou désactiver tout compte dormant après une période d'inactivité de 45 jours, lorsque cela est possible.</t>
  </si>
  <si>
    <t>* Dans EntraID, les comptes dormants ne sont pas désactivés.</t>
  </si>
  <si>
    <t>* In EntraID, dormant accounts are not disabled.</t>
  </si>
  <si>
    <t>05.04</t>
  </si>
  <si>
    <t>Restrict Administrator Privileges to Dedicated Administrator Accounts</t>
  </si>
  <si>
    <t>Limiter les privilèges de l'administrateur à des comptes administrateurs dédiés</t>
  </si>
  <si>
    <t>Restrict administrator privileges to dedicated administrator accounts on enterprise assets. Conduct general computing activities, such as internet browsing, email, and productivity suite use, from the user’s primary, non-privileged account.</t>
  </si>
  <si>
    <t>Restreindre les privilèges d'administrateur aux comptes d'administrateur dédiés aux actifs de l'entreprise. Effectuer les activités informatiques générales, telles que la navigation sur Internet, le courrier électronique et l'utilisation de la suite de productivité, à partir du compte principal non privilégié de l'utilisateur.</t>
  </si>
  <si>
    <t>05.05</t>
  </si>
  <si>
    <t>Establish and Maintain an Inventory of Service Accounts</t>
  </si>
  <si>
    <t>Établir et tenir à jour un inventaire des comptes de service</t>
  </si>
  <si>
    <t>Establish and maintain an inventory of service accounts. The inventory, at a minimum, must contain department owner, review date, and purpose. Perform service account reviews to validate that all active accounts are authorized, on a recurring schedule at a minimum quarterly, or more frequently.</t>
  </si>
  <si>
    <t>Établir et tenir à jour un inventaire des comptes de service. L'inventaire doit au moins contenir le nom du propriétaire du service, la date de révision et l'objectif. Examiner les comptes de service afin de s'assurer que tous les comptes actifs sont autorisés, selon un calendrier récurrent, au moins trimestriel, ou plus fréquemment.</t>
  </si>
  <si>
    <t>05.06</t>
  </si>
  <si>
    <t>Centralize Account Management</t>
  </si>
  <si>
    <t>Centraliser la gestion des comptes</t>
  </si>
  <si>
    <t>Centralize account management through a directory or identity service.</t>
  </si>
  <si>
    <t>Centraliser la gestion des comptes par le biais d'un annuaire ou d'un service d'identité.</t>
  </si>
  <si>
    <t>06.01</t>
  </si>
  <si>
    <t>CIS 06</t>
  </si>
  <si>
    <t>Establish an Access Granting Process</t>
  </si>
  <si>
    <t>Mise en place d'une procédure d'octroi d'accès
(Access Granting Process)</t>
  </si>
  <si>
    <t>Establish and follow a process, preferably automated, for granting access to enterprise assets upon new hire, rights grant, or role change of a user.</t>
  </si>
  <si>
    <t>Établir et suivre une procédure documentée, de préférence automatisée, pour accorder l'accès aux actifs de l'entreprise lors de l'embauche ou du changement de rôle d'un utilisateur.</t>
  </si>
  <si>
    <t>06.02</t>
  </si>
  <si>
    <t>Establish an Access Revoking Process</t>
  </si>
  <si>
    <t>Mise en place d'une procédure de révocation de l'accès</t>
  </si>
  <si>
    <t>Establish and follow a process, preferably automated, for revoking access to enterprise assets, through disabling accounts immediately upon termination, rights revocation, or role change of a user. Disabling accounts, instead of deleting accounts, may be necessary to preserve audit trails.</t>
  </si>
  <si>
    <t>Établir et suivre une procédure, de préférence automatisée, pour révoquer l'accès aux actifs de l'entreprise, en désactivant les comptes immédiatement en cas de résiliation, de révocation des droits ou de changement de rôle d'un utilisateur. La désactivation des comptes, plutôt que leur suppression, peut s'avérer nécessaire pour préserver les pistes d'audit.</t>
  </si>
  <si>
    <t>06.03</t>
  </si>
  <si>
    <t>Require MFA for Externally-Exposed Applications</t>
  </si>
  <si>
    <t>Exiger l'Authentification Multi-Facteurs (MFA) pour les applications exposées à l'extérieur</t>
  </si>
  <si>
    <t>Require all externally-exposed enterprise or third-party applications to enforce MFA, where supported. Enforcing MFA through a directory service or SSO provider is a satisfactory implementation of this Safeguard.</t>
  </si>
  <si>
    <t>Exiger que toutes les applications de l'entreprise ou de tiers exposées à l'extérieur appliquent la MFA, lorsqu'elle est prise en charge. L'application de la MFA par l'intermédiaire d'un service d'annuaire ou d'un fournisseur de SSO constitue une mise en œuvre satisfaisante de cette mesure de sauvegarde.</t>
  </si>
  <si>
    <t>06.04</t>
  </si>
  <si>
    <t>Require MFA for Remote Network Access</t>
  </si>
  <si>
    <t>Exiger la MFA pour l'accès au réseau à distance</t>
  </si>
  <si>
    <t>Require MFA for remote network access.</t>
  </si>
  <si>
    <t>06.05</t>
  </si>
  <si>
    <t>Require MFA for Administrative Access</t>
  </si>
  <si>
    <t>Exiger la MFA pour l'accès administratif</t>
  </si>
  <si>
    <t>Require MFA for all administrative access accounts, where supported, on all enterprise assets, whether managed on-site or through a third-party provider.</t>
  </si>
  <si>
    <t>Exiger la MFA pour tous les comptes d'accès administratifs, lorsqu'ils sont pris en charge, sur tous les biens de l'entreprise, qu'ils soient gérés sur place ou par l'intermédiaire d'un prestataire de services.</t>
  </si>
  <si>
    <t>06.06</t>
  </si>
  <si>
    <t>Establish and Maintain an Inventory of Authentication and Authorization Systems</t>
  </si>
  <si>
    <t>Établir et tenir à jour un inventaire des systèmes d'authentification et d'autorisation</t>
  </si>
  <si>
    <t>Establish and maintain an inventory of the enterprise’s authentication and authorization systems, including those hosted on-site or at a remote service provider. Review and update the inventory, at a minimum, annually, or more frequently.</t>
  </si>
  <si>
    <t>Établir et tenir à jour un inventaire des systèmes d'authentification et d'autorisation de l'entreprise, y compris ceux qui sont hébergés sur place ou chez un prestataire de services distant. Examiner et mettre à jour l'inventaire au moins une fois par an, ou plus fréquemment.</t>
  </si>
  <si>
    <t>06.07</t>
  </si>
  <si>
    <t>Centralize Access Control</t>
  </si>
  <si>
    <t>Centraliser le contrôle d'accès</t>
  </si>
  <si>
    <t>Centralize access control for all enterprise assets through a directory service or SSO provider, where supported.</t>
  </si>
  <si>
    <t>Centraliser le contrôle d'accès pour tous les actifs de l'entreprise par le biais d'un service d'annuaire ou d'un fournisseur SSO, le cas échéant.</t>
  </si>
  <si>
    <t>06.08</t>
  </si>
  <si>
    <t>Define and Maintain Role-Based Access Control</t>
  </si>
  <si>
    <t>Définir et gérer le contrôle d'accès basé sur les rôles
(RBAC - Role-Based Access Control)</t>
  </si>
  <si>
    <t>Define and maintain role-based access control, through determining and documenting the access rights necessary for each role within the enterprise to successfully carry out its assigned duties. Perform access control reviews of enterprise assets to validate that all privileges are authorized, on a recurring schedule at a minimum annually, or more frequently.</t>
  </si>
  <si>
    <t>Définir et maintenir un contrôle d'accès basé sur les rôles (RBAC), en déterminant et en documentant les droits d'accès nécessaires pour que chaque rôle au sein de l'entreprise puisse mener à bien les tâches qui lui sont assignées. Procéder à des examens du contrôle d'accès aux actifs de l'entreprise afin de valider que tous les privilèges sont autorisés, selon un calendrier récurrent, au moins une fois par an, ou plus fréquemment.</t>
  </si>
  <si>
    <t>07.01</t>
  </si>
  <si>
    <t>CIS 07</t>
  </si>
  <si>
    <t>Establish and Maintain a Vulnerability Management Process</t>
  </si>
  <si>
    <t>Établir et maintenir un processus de gestion des vulnérabilités</t>
  </si>
  <si>
    <t>Establish and maintain a documented vulnerability management process for enterprise assets. Review and update documentation annually, or when significant enterprise changes occur that could impact this Safeguard.</t>
  </si>
  <si>
    <t>Établir et maintenir un processus documenté de gestion des vulnérabilités pour les actifs de l'entreprise. Réviser et mettre à jour la documentation chaque année, ou lorsque des changements importants interviennent dans l'entreprise et pourraient avoir une incidence sur cette mesure de sauvegarde.</t>
  </si>
  <si>
    <t>07.02</t>
  </si>
  <si>
    <t>Establish and Maintain a Remediation Process</t>
  </si>
  <si>
    <t>Établir et maintenir un processus de remédiation</t>
  </si>
  <si>
    <t>Establish and maintain a risk-based remediation strategy documented in a remediation process, with monthly, or more frequent, reviews.</t>
  </si>
  <si>
    <t>Établir et maintenir une stratégie de remédiation basée sur les risques, documentée dans un processus de remédiation, avec des révisions mensuelles ou plus fréquentes.</t>
  </si>
  <si>
    <t>07.03</t>
  </si>
  <si>
    <t>Perform Automated Operating System Patch Management</t>
  </si>
  <si>
    <t>Gestion automatisée des correctifs des systèmes d'exploitation</t>
  </si>
  <si>
    <t>Perform operating system updates on enterprise assets through automated patch management on a monthly, or more frequent, basis.</t>
  </si>
  <si>
    <t>Effectuer des mises à jour des systèmes d'exploitation sur les actifs de l'entreprise par le biais d'une gestion automatisée des correctifs sur une base mensuelle ou plus fréquente.</t>
  </si>
  <si>
    <t>07.04</t>
  </si>
  <si>
    <t>Perform Automated Application Patch Management</t>
  </si>
  <si>
    <t>Gestion automatisée des correctifs pour les applications</t>
  </si>
  <si>
    <t>Perform application updates on enterprise assets through automated patch management on a monthly, or more frequent, basis.</t>
  </si>
  <si>
    <t>Effectuer des mises à jour d'applications sur les actifs de l'entreprise par le biais d'une gestion automatisée des correctifs sur une base mensuelle ou plus fréquente.</t>
  </si>
  <si>
    <t>07.05</t>
  </si>
  <si>
    <t>Perform Automated Vulnerability Scans of Internal Enterprise Assets</t>
  </si>
  <si>
    <t>Effectuer des analyses automatisées de la vulnérabilité des actifs internes de l'entreprise</t>
  </si>
  <si>
    <t>Perform automated vulnerability scans of internal enterprise assets on a quarterly, or more frequent, basis. Conduct both authenticated and unauthenticated scans, using a SCAP-compliant vulnerability scanning tool.</t>
  </si>
  <si>
    <t>Effectuer des analyses automatisées des vulnérabilités des actifs internes de l'entreprise sur une base trimestrielle ou plus fréquente. Effectuer des analyses authentifiées et non authentifiées.</t>
  </si>
  <si>
    <t>07.06</t>
  </si>
  <si>
    <t>Perform Automated Vulnerability Scans of Externally-Exposed Enterprise Assets</t>
  </si>
  <si>
    <t xml:space="preserve">Perform automated vulnerability scans of externally-exposed enterprise assets using a SCAP-compliant vulnerability scanning tool. Perform scans on a monthly, or more frequent, basis. </t>
  </si>
  <si>
    <t>Effectuer des analyses automatisées des vulnérabilités des actifs de l'entreprise exposés à l'extérieur. Effectuer des analyses sur une base mensuelle ou plus fréquente.</t>
  </si>
  <si>
    <t>07.07</t>
  </si>
  <si>
    <t>Remediate Detected Vulnerabilities</t>
  </si>
  <si>
    <t>Remédier aux vulnérabilités détectées</t>
  </si>
  <si>
    <t>Remediate detected vulnerabilities in software through processes and tooling on a monthly, or more frequent, basis, based on the remediation process.</t>
  </si>
  <si>
    <t>Remédier aux vulnérabilités détectées dans les logiciels au moyen de processus et d'outils sur une base mensuelle ou plus fréquente, en fonction du processus de remédiation.</t>
  </si>
  <si>
    <t>08.01</t>
  </si>
  <si>
    <t>CIS 08</t>
  </si>
  <si>
    <t>Establish and Maintain an Audit Log Management Process</t>
  </si>
  <si>
    <t>Établir et maintenir un processus de gestion des journaux d'audit</t>
  </si>
  <si>
    <t>Establish and maintain an audit log management process that defines the enterprise’s logging requirements. At a minimum, address the collection, review, and retention of audit logs for enterprise assets. Review and update documentation annually, or when significant enterprise changes occur that could impact this Safeguard.</t>
  </si>
  <si>
    <t>Établir et maintenir un processus documenté de gestion des journaux d'audit qui définit les exigences de l'entreprise en matière de journalisation. Il s'agit au minimum de la collecte, de l'examen et de la conservation des journaux d'audit pour les actifs de l'entreprise. Examiner et mettre à jour la documentation chaque année ou lorsque des changements importants interviennent au sein de l'entreprise et sont susceptibles d'avoir une incidence sur cette mesure de sauvegarde.</t>
  </si>
  <si>
    <t>08.02</t>
  </si>
  <si>
    <t>Collect Audit Logs</t>
  </si>
  <si>
    <t>Collecter les journaux d'audit</t>
  </si>
  <si>
    <t>Collect audit logs. Ensure that logging, per the enterprise’s audit log management process, has been enabled across enterprise assets.</t>
  </si>
  <si>
    <t>Collecter les journaux d'audit. S'assurer que la journalisation, conformément au processus de gestion des journaux d'audit de l'entreprise, a été activée pour tous les actifs de l'entreprise.</t>
  </si>
  <si>
    <t>08.03</t>
  </si>
  <si>
    <t>Ensure Adequate Audit Log Storage</t>
  </si>
  <si>
    <t>Assurer un stockage adéquat des journaux d'audit</t>
  </si>
  <si>
    <t>Ensure that logging destinations maintain adequate storage to comply with the enterprise’s audit log management process.</t>
  </si>
  <si>
    <t>Veiller à ce que les destinations de journalisation disposent d'un espace de stockage suffisant pour se conformer au processus de gestion des journaux d'audit de l'entreprise.</t>
  </si>
  <si>
    <t>08.04</t>
  </si>
  <si>
    <t>Standardize Time Synchronization</t>
  </si>
  <si>
    <t>Normaliser la synchronisation du temps</t>
  </si>
  <si>
    <t>Standardize time synchronization. Configure at least two synchronized time sources across enterprise assets, where supported.</t>
  </si>
  <si>
    <t>Normaliser la synchronisation de l'heure. Configurez au moins deux sources de temps synchronisées pour les actifs de l'entreprise, si cela est possible.</t>
  </si>
  <si>
    <t>08.05</t>
  </si>
  <si>
    <t>Collect Detailed Audit Logs</t>
  </si>
  <si>
    <t>Collecte de journaux d'audit détaillés</t>
  </si>
  <si>
    <t>Configure detailed audit logging for enterprise assets containing sensitive data. Include event source, date, username, timestamp, source addresses, destination addresses, and other useful elements that could assist in a forensic investigation.</t>
  </si>
  <si>
    <t>Configurez une journalisation d'audit détaillée pour les actifs de l'entreprise contenant des données sensibles. Incluez la source de l'événement, la date, le nom d'utilisateur, l'horodatage, les adresses de source et de destination, ainsi que d'autres éléments utiles pouvant contribuer à une enquête médico-légale.</t>
  </si>
  <si>
    <t>08.06</t>
  </si>
  <si>
    <t>Collect DNS Query Audit Logs</t>
  </si>
  <si>
    <t>Collecte des journaux d'audit des requêtes DNS</t>
  </si>
  <si>
    <t>Collect DNS query audit logs on enterprise assets, where appropriate and supported.</t>
  </si>
  <si>
    <t>Collecter les journaux d'audit des requêtes DNS sur les actifs de l'entreprise, lorsque cela est approprié et pris en charge.</t>
  </si>
  <si>
    <t>08.07</t>
  </si>
  <si>
    <t>Collect URL Request Audit Logs</t>
  </si>
  <si>
    <t>Collecte des journaux d'audit des demandes d'URL</t>
  </si>
  <si>
    <t>Collect URL request audit logs on enterprise assets, where appropriate and supported.</t>
  </si>
  <si>
    <t>Collecter les journaux d'audit des actifs de l'entreprise à la demande de l'URL, le cas échéant et lorsque cela est possible.</t>
  </si>
  <si>
    <t>08.08</t>
  </si>
  <si>
    <t>Collect Command-Line Audit Logs</t>
  </si>
  <si>
    <t>Collecte des journaux d'audit de la ligne de commande</t>
  </si>
  <si>
    <t>Collect command-line audit logs. Example implementations include collecting audit logs from PowerShell®, BASH™, and remote administrative terminals.</t>
  </si>
  <si>
    <t>Collecter les journaux d'audit de la ligne de commande. Les exemples de mise en œuvre comprennent la collecte de journaux d'audit à partir de PowerShell®, BASH™ et de terminaux d'administration distants.</t>
  </si>
  <si>
    <t>08.09</t>
  </si>
  <si>
    <t>Centralize Audit Logs</t>
  </si>
  <si>
    <t>Centraliser les journaux d'audit</t>
  </si>
  <si>
    <t>Centralize, to the extent possible, audit log collection and retention across enterprise assets.</t>
  </si>
  <si>
    <t>Centraliser, dans la mesure du possible, la collecte et la conservation des journaux d'audit pour l'ensemble des actifs de l'entreprise, conformément au processus documenté de gestion des journaux d'audit. Les exemples de mise en œuvre comprennent l'utilisation d'un outil SIEM pour centraliser plusieurs sources de journaux.</t>
  </si>
  <si>
    <t>08.10</t>
  </si>
  <si>
    <t>Retain Audit Logs</t>
  </si>
  <si>
    <t>Conserver les journaux d'audit</t>
  </si>
  <si>
    <t>Retain audit logs across enterprise assets for a minimum of 90 days.</t>
  </si>
  <si>
    <t>Conserver les journaux d'audit des actifs de l'entreprise pendant au moins 90 jours.</t>
  </si>
  <si>
    <t>08.11</t>
  </si>
  <si>
    <t>Conduct Audit Log Reviews</t>
  </si>
  <si>
    <t>Examiner les journaux d'audit</t>
  </si>
  <si>
    <t>Conduct reviews of audit logs to detect anomalies or abnormal events that could indicate a potential threat. Conduct reviews on a weekly, or more frequent, basis.</t>
  </si>
  <si>
    <t>Examiner les journaux d'audit pour détecter les anomalies ou les événements anormaux qui pourraient indiquer une menace potentielle. Effectuer des contrôles hebdomadaires ou plus fréquents.</t>
  </si>
  <si>
    <t>08.12</t>
  </si>
  <si>
    <t>Collect Service Provider Logs</t>
  </si>
  <si>
    <t>Collecter les journaux des fournisseurs de services</t>
  </si>
  <si>
    <t>Collect service provider logs, where supported. Example implementations include collecting authentication and authorization events, data creation and disposal events, and user management events.</t>
  </si>
  <si>
    <t>Collecter les journaux du fournisseur de services, le cas échéant. Les exemples de mise en œuvre comprennent la collecte des événements d'authentification et d'autorisation, des événements de création et d'élimination des données, et des événements de gestion des utilisateurs.</t>
  </si>
  <si>
    <t>09.01</t>
  </si>
  <si>
    <t>CIS 09</t>
  </si>
  <si>
    <t>Ensure Use of Only Fully Supported Browsers and Email Clients</t>
  </si>
  <si>
    <t>Veiller à n'utiliser que des navigateurs et des clients de messagerie entièrement pris en charge</t>
  </si>
  <si>
    <t>Ensure only fully supported browsers and email clients are allowed to execute in the enterprise, only using the latest version of browsers and email clients provided through the vendor.</t>
  </si>
  <si>
    <t>Veiller à ce que seuls les navigateurs et les clients de messagerie entièrement pris en charge soient autorisés à s'exécuter dans l'entreprise, en utilisant uniquement la dernière version des navigateurs et des clients de messagerie fournie par le fournisseur.</t>
  </si>
  <si>
    <t>09.02</t>
  </si>
  <si>
    <t>Matériel / Appareils</t>
  </si>
  <si>
    <t>Use DNS Filtering Services</t>
  </si>
  <si>
    <t>Utiliser les services de filtrage DNS</t>
  </si>
  <si>
    <t>Use DNS filtering services on all enterprise assets to block access to known malicious domains.</t>
  </si>
  <si>
    <t>Utiliser des services de filtrage DNS sur tous les appareils des utilisateurs finaux, y compris les équipements distants et sur site, pour bloquer l'accès aux domaines malveillants connus.</t>
  </si>
  <si>
    <t>09.03</t>
  </si>
  <si>
    <t>Réseau</t>
  </si>
  <si>
    <t>Maintain and Enforce Network-Based URL Filters</t>
  </si>
  <si>
    <t>Maintenir et appliquer des filtres d'URL basés sur le réseau</t>
  </si>
  <si>
    <t>Enforce and update network-based URL filters to limit an enterprise asset from connecting to potentially malicious or unapproved websites. Example implementations include category-based filtering, reputation-based filtering, or through the use of block lists. Enforce filters for all enterprise assets.</t>
  </si>
  <si>
    <t>Appliquer et mettre à jour les filtres URL basés sur le réseau afin d'empêcher un bien de l'entreprise de se connecter à des sites web potentiellement malveillants ou non approuvés. Les exemples de mise en œuvre comprennent le filtrage par catégorie, le filtrage basé sur la réputation ou l'utilisation de listes de blocage. Appliquer les filtres à tous les actifs de l'entreprise.</t>
  </si>
  <si>
    <t>09.04</t>
  </si>
  <si>
    <t>Restrict Unnecessary or Unauthorized Browser and Email Client Extensions</t>
  </si>
  <si>
    <t>Restreindre les extensions inutiles ou non autorisées du navigateur et du client de messagerie</t>
  </si>
  <si>
    <t>Restrict, either through uninstalling or disabling, any unauthorized or unnecessary browser or email client plugins, extensions, and add-on applications.</t>
  </si>
  <si>
    <t>Restreindre, en les désinstallant ou en les désactivant, tous les plugins, extensions et applications complémentaires non autorisés ou inutiles du navigateur ou du client de messagerie.</t>
  </si>
  <si>
    <t>09.05</t>
  </si>
  <si>
    <t>Implement DMARC</t>
  </si>
  <si>
    <t>Mise en œuvre de DMARC</t>
  </si>
  <si>
    <t>To lower the chance of spoofed or modified emails from valid domains, implement DMARC policy and verification, starting with implementing the Sender Policy Framework (SPF) and the DomainKeys Identified Mail (DKIM) standards.</t>
  </si>
  <si>
    <t>Pour réduire les risques d'usurpation ou de modification de courriels provenant de domaines valides, mettez en œuvre la politique et la vérification DMARC, en commençant par appliquer les normes SPF (Sender Policy Framework) et DKIM (DomainKeys Identified Mail).</t>
  </si>
  <si>
    <t>09.06</t>
  </si>
  <si>
    <t>Block Unnecessary File Types</t>
  </si>
  <si>
    <t>Bloquer les types de fichiers inutiles</t>
  </si>
  <si>
    <t>Block unnecessary file types attempting to enter the enterprise’s email gateway.</t>
  </si>
  <si>
    <t>Bloquer les types de fichiers inutiles qui tentent d'entrer dans la passerelle de messagerie de l'entreprise.</t>
  </si>
  <si>
    <t>09.07</t>
  </si>
  <si>
    <t>Deploy and Maintain Email Server Anti-Malware Protections</t>
  </si>
  <si>
    <t>Déployer et maintenir les protections anti-programmes malveillants des serveurs de messagerie
(Anti-Malware)</t>
  </si>
  <si>
    <t>Deploy and maintain email server anti-malware protections, such as attachment scanning and/or sandboxing.</t>
  </si>
  <si>
    <t>Déployer et maintenir les protections anti-malware du serveur de messagerie, telles que l'analyse des pièces jointes et/ou le sandboxing.</t>
  </si>
  <si>
    <t>10.01</t>
  </si>
  <si>
    <t>CIS 10</t>
  </si>
  <si>
    <t>Deploy and Maintain Anti-Malware Software</t>
  </si>
  <si>
    <t>Déployer et maintenir un logiciel anti-malware</t>
  </si>
  <si>
    <t>Deploy and maintain anti-malware software on all enterprise assets.</t>
  </si>
  <si>
    <t>Déployer et maintenir un logiciel anti-malware sur tous les actifs de l'entreprise.</t>
  </si>
  <si>
    <t>10.02</t>
  </si>
  <si>
    <t>Configure Automatic Anti-Malware Signature Updates</t>
  </si>
  <si>
    <t>Configurer les mises à jour automatiques des signatures Anti-Malware</t>
  </si>
  <si>
    <t>Configure automatic updates for anti-malware signature files on all enterprise assets.</t>
  </si>
  <si>
    <t>Configurer des mises à jour automatiques pour les fichiers de signatures anti-malware sur tous les actifs de l'entreprise.</t>
  </si>
  <si>
    <t>10.03</t>
  </si>
  <si>
    <t>Disable Autorun and Autoplay for Removable Media</t>
  </si>
  <si>
    <t>Désactiver l'exécution automatique et la lecture automatique pour les supports amovibles</t>
  </si>
  <si>
    <t>Disable autorun and autoplay auto-execute functionality for removable media.</t>
  </si>
  <si>
    <t>Désactiver les fonctions d'exécution automatique autorun et autoplay pour les supports amovibles.</t>
  </si>
  <si>
    <t>10.04</t>
  </si>
  <si>
    <t>Configure Automatic Anti-Malware Scanning of Removable Media</t>
  </si>
  <si>
    <t>Configurer l'analyse automatique des supports amovibles par un logiciel anti-malware</t>
  </si>
  <si>
    <t>Configure anti-malware software to automatically scan removable media.</t>
  </si>
  <si>
    <t>Configurer le logiciel anti-malware pour qu'il analyse automatiquement les supports amovibles.</t>
  </si>
  <si>
    <t>10.05</t>
  </si>
  <si>
    <t>Enable Anti-Exploitation Features</t>
  </si>
  <si>
    <t>Activer les fonctions anti-exploitation</t>
  </si>
  <si>
    <t>Enable anti-exploitation features on enterprise assets and software, where possible, such as Microsoft® Data Execution Prevention (DEP), Windows® Defender Exploit Guard (WDEG), or Apple® System Integrity Protection (SIP) and Gatekeeper™.</t>
  </si>
  <si>
    <t>Activer les fonctions anti-exploitation sur les actifs et les logiciels de l'entreprise, dans la mesure du possible, telles que Microsoft® Data Execution Prevention (DEP), Windows® Defender Exploit Guard (WDEG), ou Apple® System Integrity Protégerion (SIP) et Gatekeeper™.</t>
  </si>
  <si>
    <t>10.06</t>
  </si>
  <si>
    <t>Centrally Manage Anti-Malware Software</t>
  </si>
  <si>
    <t>Gestion centralisée des logiciels anti-malware</t>
  </si>
  <si>
    <t>Centrally manage anti-malware software.</t>
  </si>
  <si>
    <t>Gestion centralisée des logiciels anti-malware.</t>
  </si>
  <si>
    <t>10.07</t>
  </si>
  <si>
    <t>Use Behavior-Based Anti-Malware Software</t>
  </si>
  <si>
    <t>Utiliser un logiciel anti-programmes malveillants basé sur le comportement</t>
  </si>
  <si>
    <t>Use behavior-based anti-malware software.</t>
  </si>
  <si>
    <t>Utiliser un logiciel anti-malware basé sur le comportement.</t>
  </si>
  <si>
    <t>11.01</t>
  </si>
  <si>
    <t>CIS 11</t>
  </si>
  <si>
    <t>Recover</t>
  </si>
  <si>
    <t>Establish and Maintain a Data Recovery Process </t>
  </si>
  <si>
    <t>Établir et maintenir un processus de récupération des données</t>
  </si>
  <si>
    <t xml:space="preserve">Establish and maintain a data recovery process. In the process, address the scope of data recovery activities, recovery prioritization, and the security of backup data. Review and update documentation annually, or when significant enterprise changes occur that could impact this Safeguard. </t>
  </si>
  <si>
    <t>Établir et maintenir un processus documenté de récupération des données. Dans le cadre de ce processus, il convient de définir l'étendue des activités de récupération des données, l'ordre de priorité de la récupération et la sécurité des données de sauvegarde. Réviser et mettre à jour la documentation chaque année, ou lorsque des changements importants interviennent dans l'entreprise et pourraient avoir une incidence sur cette mesure de sauvegarde.</t>
  </si>
  <si>
    <t>11.02</t>
  </si>
  <si>
    <t>Rétablir</t>
  </si>
  <si>
    <t>Perform Automated Backups </t>
  </si>
  <si>
    <t>Effectuer des sauvegardes automatisées</t>
  </si>
  <si>
    <t>Perform automated backups of in-scope enterprise assets. Run backups weekly, or more frequently, based on the sensitivity of the data.</t>
  </si>
  <si>
    <t>Effectuer des sauvegardes automatisées des actifs de l'entreprise concernés. Effectuer des sauvegardes hebdomadaires, ou plus fréquemment, en fonction de la sensibilité des données.</t>
  </si>
  <si>
    <t>11.03</t>
  </si>
  <si>
    <t>Protect Recovery Data</t>
  </si>
  <si>
    <t>Protéger les données de récupération</t>
  </si>
  <si>
    <t>Protect recovery data with equivalent controls to the original data. Reference encryption or data separation, based on requirements.</t>
  </si>
  <si>
    <t>Protéger les données de récupération par des contrôles équivalents aux données d'origine. Cryptage de référence ou séparation des données, en fonction des besoins.</t>
  </si>
  <si>
    <t>11.04</t>
  </si>
  <si>
    <t>Establish and Maintain an Isolated Instance of Recovery Data </t>
  </si>
  <si>
    <t>Établir et maintenir une instance isolée de données de récupération</t>
  </si>
  <si>
    <t>Establish and maintain an isolated instance of recovery data. Example implementations include, version controlling backup destinations through offline, cloud, or off-site systems or services.</t>
  </si>
  <si>
    <t>Établir et maintenir une instance isolée des données de récupération. Les exemples de mise en œuvre comprennent le contrôle des versions des destinations de sauvegarde par le biais de systèmes ou de services hors ligne, dans le nuage ou hors site.</t>
  </si>
  <si>
    <t>11.05</t>
  </si>
  <si>
    <t>Test Data Recovery</t>
  </si>
  <si>
    <t>Tester la Récupération de données</t>
  </si>
  <si>
    <t>Test backup recovery quarterly, or more frequently, for a sampling of in-scope enterprise assets.</t>
  </si>
  <si>
    <t>Tester la restauration des sauvegardes tous les trimestres, ou plus fréquemment, pour un échantillon d'actifs de l'entreprise entrant dans le champ d'application.</t>
  </si>
  <si>
    <t>12.01</t>
  </si>
  <si>
    <t>CIS 12</t>
  </si>
  <si>
    <t>Ensure Network Infrastructure is Up-to-Date</t>
  </si>
  <si>
    <t>S'assurer que l'infrastructure du réseau est à jour</t>
  </si>
  <si>
    <t>Ensure network infrastructure is kept up-to-date. Example implementations include running the latest stable release of software and/or using currently supported network-as-a-service (NaaS) offerings. Review software versions monthly, or more frequently, to verify software support.</t>
  </si>
  <si>
    <t>Veiller à ce que l'infrastructure du réseau soit maintenue à jour. Les exemples de mise en œuvre comprennent l'exécution de la dernière version stable du logiciel et/ou l'utilisation d'offres de réseau en tant que service (NaaS) actuellement prises en charge. Examiner les versions des logiciels tous les mois, ou plus fréquemment, pour vérifier qu'ils sont bien pris en charge.</t>
  </si>
  <si>
    <t>12.02</t>
  </si>
  <si>
    <t>Establish and Maintain a Secure Network Architecture</t>
  </si>
  <si>
    <t>Établir et maintenir une architecture de réseau sécurisée</t>
  </si>
  <si>
    <t>Establish and maintain a secure network architecture. A secure network architecture must address segmentation, least privilege, and availability, at a minimum.</t>
  </si>
  <si>
    <t>Concevoir et maintenir une architecture de réseau sécurisée. Une architecture de réseau sécurisée doit au moins prendre en compte la segmentation, le moindre privilège et la disponibilité. Les exemples de mise en œuvre ne comprendront pas uniquement de la documentation, mais aussi des éléments de politique et de conception.</t>
  </si>
  <si>
    <t>12.03</t>
  </si>
  <si>
    <t>Securely Manage Network Infrastructure</t>
  </si>
  <si>
    <t>Gérer l'infrastructure du réseau en toute sécurité</t>
  </si>
  <si>
    <t xml:space="preserve">Securely manage network infrastructure. Example implementations include version-controlled-infrastructure-as-code, and the use of secure network protocols, such as SSH and HTTPS. </t>
  </si>
  <si>
    <t>Gérer en toute sécurité l'infrastructure du réseau. Les exemples de mise en œuvre comprennent l'Infrastructure-as-Code (IaC) avec contrôle de version et l'utilisation de protocoles réseau sécurisés, tels que SSH et HTTPS.</t>
  </si>
  <si>
    <t>12.04</t>
  </si>
  <si>
    <t>Establish and Maintain Architecture Diagram(s)</t>
  </si>
  <si>
    <t>Établir et tenir à jour le(s) diagramme(s) d'architecture</t>
  </si>
  <si>
    <t>Establish and maintain architecture diagram(s) and/or other network system documentation. Review and update documentation annually, or when significant enterprise changes occur that could impact this Safeguard.</t>
  </si>
  <si>
    <t>Établir et tenir à jour le(s) diagramme(s) d'architecture et/ou d'autres documents relatifs au système de réseau. Examiner et mettre à jour la documentation chaque année, ou lorsque des changements importants interviennent dans l'entreprise et pourraient avoir une incidence sur la présente mesure de sauvegarde.</t>
  </si>
  <si>
    <t>12.05</t>
  </si>
  <si>
    <t>Centralize Network Authentication, Authorization, and Auditing (AAA)</t>
  </si>
  <si>
    <t>Centraliser l'authentification, l'autorisation et l'audit du réseau (Authentication, Authorization, and Auditing (AAA))</t>
  </si>
  <si>
    <t>Centralize network AAA.</t>
  </si>
  <si>
    <t>Centraliser l'AAA du réseau.</t>
  </si>
  <si>
    <t>12.06</t>
  </si>
  <si>
    <t>Use of Secure Network Management and Communication Protocols </t>
  </si>
  <si>
    <t>Utilisation de protocoles de gestion et de communication de réseaux sécurisés</t>
  </si>
  <si>
    <t>Use secure network management and communication protocols (e.g., 802.1X, Wi-Fi Protected Access 2 (WPA2) Enterprise or greater).</t>
  </si>
  <si>
    <t>Utiliser des protocoles de gestion de réseau et de communication sécurisés (par exemple, 802.1X, Wi-Fi Protégered Access 2 (WPA2) Enterprise ou supérieur).</t>
  </si>
  <si>
    <t>12.07</t>
  </si>
  <si>
    <t>Ensure Remote Devices Utilize a VPN and are Connecting to an Enterprise’s AAA Infrastructure</t>
  </si>
  <si>
    <t>S'assurer que les appareils distants utilisent un VPN et se connectent à l'infrastructure AAA de l'entreprise</t>
  </si>
  <si>
    <t>Require users to authenticate to enterprise-managed VPN and authentication services prior to accessing enterprise resources on end-user devices.</t>
  </si>
  <si>
    <t>Exiger des utilisateurs qu'ils s'authentifient auprès des services VPN et d'authentification gérés par l'entreprise avant d'accéder aux ressources de l'entreprise sur les appareils des utilisateurs finaux.</t>
  </si>
  <si>
    <t>12.08</t>
  </si>
  <si>
    <t>Establish and Maintain Dedicated Computing Resources for All Administrative Work</t>
  </si>
  <si>
    <t>Mettre en place et maintenir des ressources informatiques dédiées à l'ensemble du travail administratif</t>
  </si>
  <si>
    <t>Establish and maintain dedicated computing resources, either physically or logically separated, for all administrative tasks or tasks requiring administrative access. The computing resources should be segmented from the enterprise's primary network and not be allowed internet access.</t>
  </si>
  <si>
    <t>Mettre en place et maintenir des ressources informatiques dédiées, physiquement ou logiquement séparées, pour toutes les tâches administratives ou nécessitant un accès administratif. Ces ressources informatiques doivent être séparées du réseau principal de l'entreprise et ne doivent pas être autorisées à accéder à l'internet.</t>
  </si>
  <si>
    <t>13.01</t>
  </si>
  <si>
    <t>CIS 13</t>
  </si>
  <si>
    <t>Centralize Security Event Alerting</t>
  </si>
  <si>
    <t>Centraliser les alertes sur les événements de sécurité</t>
  </si>
  <si>
    <t>Centralize security event alerting across enterprise assets for log correlation and analysis. Best practice implementation requires the use of a SIEM, which includes vendor-defined event correlation alerts. A log analytics platform configured with security-relevant correlation alerts also satisfies this Safeguard.</t>
  </si>
  <si>
    <t>Centraliser les alertes d'événements de sécurité sur l'ensemble des actifs de l'entreprise pour la corrélation et l'analyse des journaux. La mise en œuvre des meilleures pratiques nécessite l'utilisation d'un SIEM, qui comprend des alertes de corrélation d'événements définies par le fournisseur. Une plate-forme d'analyse des journaux configurée avec des alertes de corrélation pertinentes pour la sécurité satisfait également à cette mesure de sauvegarde.</t>
  </si>
  <si>
    <t>13.02</t>
  </si>
  <si>
    <t>Deploy a Host-Based Intrusion Detection Solution</t>
  </si>
  <si>
    <t>Déployer une solution de détection d'intrusion basée sur l'hôte</t>
  </si>
  <si>
    <t>Deploy a host-based intrusion detection solution on enterprise assets, where appropriate and/or supported.</t>
  </si>
  <si>
    <t>Déployer une solution de détection d'intrusion basée sur l'hôte sur les actifs de l'entreprise, lorsque cela est approprié et/ou pris en charge.</t>
  </si>
  <si>
    <t>13.03</t>
  </si>
  <si>
    <t>Deploy a Network Intrusion Detection Solution</t>
  </si>
  <si>
    <t>Déployer une solution de détection des intrusions dans le réseau</t>
  </si>
  <si>
    <t>Deploy a network intrusion detection solution on enterprise assets, where appropriate. Example implementations include the use of a Network Intrusion Detection System (NIDS) or equivalent cloud service provider (CSP) service.</t>
  </si>
  <si>
    <t>Déployer une solution de détection des intrusions dans le réseau sur les actifs de l'entreprise, le cas échéant. Les exemples de mise en œuvre comprennent l'utilisation d'un système de détection des intrusions dans le réseau (NIDS) ou d'un service équivalent d'un fournisseur de services en nuage (CSP).</t>
  </si>
  <si>
    <t>13.04</t>
  </si>
  <si>
    <t>Perform Traffic Filtering Between Network Segments</t>
  </si>
  <si>
    <t>Filtrage du trafic entre les segments du réseau</t>
  </si>
  <si>
    <t>Perform traffic filtering between network segments, where appropriate.</t>
  </si>
  <si>
    <t>Effectuer un filtrage du trafic entre les segments du réseau, le cas échéant.</t>
  </si>
  <si>
    <t>13.05</t>
  </si>
  <si>
    <t>Manage Access Control for Remote Assets</t>
  </si>
  <si>
    <t>Gérer le contrôle d'accès pour les biens distants</t>
  </si>
  <si>
    <t>"Manage access control for assets remotely connecting to enterprise resources. Determine amount of access to enterprise resources based on: up-to-date anti-malware software installed, configuration compliance with the enterprise’s secure configuration process, and ensuring the operating system and applications are up-to-date.</t>
  </si>
  <si>
    <t>Gérer le contrôle d'accès des actifs se connectant à distance aux ressources de l'entreprise. Déterminer la quantité d'accès aux ressources de l'entreprise en fonction des éléments suivants : logiciel anti-malware installé à jour, conformité de la configuration avec le processus de configuration sécurisé de l'entreprise, et garantie que le système d'exploitation et les applications sont à jour.</t>
  </si>
  <si>
    <t xml:space="preserve"> "</t>
  </si>
  <si>
    <t>13.06</t>
  </si>
  <si>
    <t xml:space="preserve">Collect Network Traffic Flow Logs </t>
  </si>
  <si>
    <t>Collecter les journaux de flux de trafic du réseau</t>
  </si>
  <si>
    <t>Collect network traffic flow logs and/or network traffic to review and alert upon from network devices.</t>
  </si>
  <si>
    <t>Collecter les journaux des flux de trafic du réseau et/ou le trafic du réseau afin de les examiner et de lancer des alertes sur les dispositifs du réseau.</t>
  </si>
  <si>
    <t>13.07</t>
  </si>
  <si>
    <t>Deploy a Host-Based Intrusion Prevention Solution</t>
  </si>
  <si>
    <t>Déployer une solution de prévention des intrusions basée sur l'hôte</t>
  </si>
  <si>
    <t>Deploy a host-based intrusion prevention solution on enterprise assets, where appropriate and/or supported. Example implementations include use of an Endpoint Detection and Response (EDR) client or host-based IPS agent.</t>
  </si>
  <si>
    <t>Déployer une solution de prévention des intrusions basée sur l'hôte sur les actifs de l'entreprise, si cela est approprié et/ou pris en charge. Les exemples de mise en œuvre comprennent l'utilisation d'un client EDR (Endpoint Detection and Response) ou d'un agent IPS basé sur l'hôte.</t>
  </si>
  <si>
    <t>13.08</t>
  </si>
  <si>
    <t>Deploy a Network Intrusion Prevention Solution</t>
  </si>
  <si>
    <t>Déployer une solution de prévention des intrusions dans le réseau</t>
  </si>
  <si>
    <t>Deploy a network intrusion prevention solution, where appropriate. Example implementations include the use of a Network Intrusion Prevention System (NIPS) or equivalent CSP service.</t>
  </si>
  <si>
    <t>Déployer une solution de prévention des intrusions dans le réseau, le cas échéant. Les exemples de mise en œuvre comprennent l'utilisation d'un système de prévention des intrusions dans le réseau (NIPS) ou d'un service équivalent du CSP.</t>
  </si>
  <si>
    <t>13.09</t>
  </si>
  <si>
    <t>Deploy Port-Level Access Control</t>
  </si>
  <si>
    <t>Déployer un contrôle d'accès au niveau du port</t>
  </si>
  <si>
    <t>Deploy port-level access control. Port-level access control utilizes 802.1x, or similar network access control protocols, such as certificates, and may incorporate user and/or device authentication.</t>
  </si>
  <si>
    <t>Déployer un contrôle d'accès au niveau du port. Le contrôle d'accès au niveau du port utilise 802.1x ou des protocoles similaires de contrôle d'accès au réseau, tels que les certificats, et peut intégrer l'authentification de l'utilisateur et/ou de l'appareil.</t>
  </si>
  <si>
    <t>13.10</t>
  </si>
  <si>
    <t>Perform Application Layer Filtering</t>
  </si>
  <si>
    <t>Effectuer un filtrage de la couche application</t>
  </si>
  <si>
    <t>Perform application layer filtering. Example implementations include a filtering proxy, application layer firewall, or gateway.</t>
  </si>
  <si>
    <t>Effectuer un filtrage de la couche application. Les exemples de mise en œuvre comprennent un proxy de filtrage, un pare-feu de la couche application ou une passerelle.</t>
  </si>
  <si>
    <t>13.11</t>
  </si>
  <si>
    <t>Tune Security Event Alerting Thresholds</t>
  </si>
  <si>
    <t>Régler les seuils d'alerte des événements de sécurité</t>
  </si>
  <si>
    <t>Tune security event alerting thresholds monthly, or more frequently.</t>
  </si>
  <si>
    <t>Ajustez les seuils d'alerte des événements de sécurité tous les mois, ou plus fréquemment.</t>
  </si>
  <si>
    <t>14.01</t>
  </si>
  <si>
    <t>CIS 14</t>
  </si>
  <si>
    <t>Establish and Maintain a Security Awareness Program</t>
  </si>
  <si>
    <t>Établir et maintenir un programme de sensibilisation à la sécurité</t>
  </si>
  <si>
    <t>Establish and maintain a security awareness program. The purpose of a security awareness program is to educate the enterprise’s workforce on how to interact with enterprise assets and data in a secure manner. Conduct training at hire and, at a minimum, annually. Review and update content annually, or when significant enterprise changes occur that could impact this Safeguard.</t>
  </si>
  <si>
    <t>Établir et maintenir un programme de sensibilisation à la sécurité. L'objectif d'un programme de sensibilisation à la sécurité est de former le personnel de l'entreprise à la manière d'interagir avec les biens et les données de l'entreprise de manière sécurisée. Organiser une formation à l'embauche et, au minimum, une fois par an. Réviser et mettre à jour le contenu chaque année, ou lorsque des changements importants interviennent dans l'entreprise et peuvent avoir une incidence sur la présente sauvegarde.</t>
  </si>
  <si>
    <t>14.02</t>
  </si>
  <si>
    <t>Train Workforce Members to Recognize Social Engineering Attacks</t>
  </si>
  <si>
    <t>Former les membres du personnel à reconnaître les attaques d'ingénierie sociale</t>
  </si>
  <si>
    <t>Train workforce members to recognize social engineering attacks, such as phishing, pre-texting, and tailgating. </t>
  </si>
  <si>
    <t>Former les membres du personnel à reconnaître les attaques d'ingénierie sociale, telles que le phishing, la compromission des courriers électroniques professionnels (BEC), le pretexting et le tailgating.</t>
  </si>
  <si>
    <t>14.03</t>
  </si>
  <si>
    <t>Train Workforce Members on Authentication Best Practices</t>
  </si>
  <si>
    <t>Former les membres du personnel aux meilleures pratiques d'authentification</t>
  </si>
  <si>
    <t>Train workforce members on authentication best practices. Example topics include MFA, password composition, and credential management.</t>
  </si>
  <si>
    <t>Former les membres du personnel aux meilleures pratiques d'authentification. Parmi les sujets abordés, citons la MFA, la composition des mots de passe et la gestion des informations d'identification.</t>
  </si>
  <si>
    <t>14.04</t>
  </si>
  <si>
    <t>Train Workforce on Data Handling Best Practices</t>
  </si>
  <si>
    <t>Former le personnel aux meilleures pratiques en matière de traitement des données</t>
  </si>
  <si>
    <t>Train workforce members on how to identify and properly store, transfer, archive, and destroy sensitive data. This also includes training workforce members on clear screen and desk best practices, such as locking their screen when they step away from their enterprise asset, erasing physical and virtual whiteboards at the end of meetings, and storing data and assets securely.</t>
  </si>
  <si>
    <t>Former les membres du personnel à l'identification et au stockage, au transfert, à l'archivage et à la destruction des données sensibles. Il s'agit également de former les membres du personnel aux meilleures pratiques en matière d'écran clair et de bureau, telles que le verrouillage de l'écran lorsqu'ils s'éloignent de leur poste de travail, l'effacement des tableaux blancs physiques et virtuels à la fin des réunions, et le stockage sécurisé des données et des actifs.</t>
  </si>
  <si>
    <t>14.05</t>
  </si>
  <si>
    <t>Train Workforce Members on Causes of Unintentional Data Exposure</t>
  </si>
  <si>
    <t>Former les membres du personnel aux causes de l'exposition involontaire aux données</t>
  </si>
  <si>
    <t>Train workforce members to be aware of causes for unintentional data exposure. Example topics include mis-delivery of sensitive data, losing a portable end-user device, or publishing data to unintended audiences.</t>
  </si>
  <si>
    <t>Former les membres du personnel pour qu'ils soient conscients des causes d'exposition involontaire des données. Il peut s'agir par exemple d'une mauvaise livraison de données sensibles, de la perte d'un appareil portable d'un utilisateur final ou de mesures de publication de données à l'intention d'un public non ciblé.</t>
  </si>
  <si>
    <t>14.06</t>
  </si>
  <si>
    <t>Train Workforce Members on Recognizing and Reporting Security Incidents</t>
  </si>
  <si>
    <t>Former les membres du personnel à reconnaître et à signaler les incidents de sécurité</t>
  </si>
  <si>
    <t>Train workforce members to be able to recognize a potential incident and be able to report such an incident. </t>
  </si>
  <si>
    <t>Former les membres du personnel pour qu'ils soient en mesure de reconnaître un incident potentiel et de le signaler.</t>
  </si>
  <si>
    <t>14.07</t>
  </si>
  <si>
    <t>Train Workforce on How to Identify and Report if Their Enterprise Assets are Missing Security Updates</t>
  </si>
  <si>
    <t>Former le personnel sur la manière d'identifier et de signaler si les mises à jour de sécurité manquent sur les actifs de l'entreprise</t>
  </si>
  <si>
    <t>Train workforce to understand how to verify and report out-of-date software patches or any failures in automated processes and tools. Part of this training should include notifying IT personnel of any failures in automated processes and tools.</t>
  </si>
  <si>
    <t>Former le personnel pour qu'il comprenne comment vérifier et signaler les correctifs logiciels périmés ou toute défaillance des processus et outils automatisés. Une partie de cette formation devrait inclure la notification au personnel informatique de toute défaillance des processus et outils automatisés.</t>
  </si>
  <si>
    <t>14.08</t>
  </si>
  <si>
    <t>Train Workforce on the Dangers of Connecting to and Transmitting Enterprise Data Over Insecure Networks</t>
  </si>
  <si>
    <t>Former le personnel aux dangers de la connexion et de la transmission de données d'entreprise sur des réseaux non sécurisés</t>
  </si>
  <si>
    <t>Train workforce members on the dangers of connecting to, and transmitting data over, insecure networks for enterprise activities. If the enterprise has remote workers, training must include guidance to ensure that all users securely configure their home network infrastructure.</t>
  </si>
  <si>
    <t>Former les membres du personnel aux dangers de la connexion et de la transmission de données sur des réseaux non sécurisés dans le cadre des activités de l'entreprise. Si l'entreprise emploie des travailleurs à distance, la formation doit inclure des conseils pour s'assurer que tous les utilisateurs configurent de manière sécurisée l'infrastructure de leur réseau domestique.</t>
  </si>
  <si>
    <t>14.09</t>
  </si>
  <si>
    <t>Conduct Role-Specific Security Awareness and Skills Training</t>
  </si>
  <si>
    <t>Organiser une sensibilisation à la sécurité et une formation aux compétences spécifiques à chaque rôle</t>
  </si>
  <si>
    <t>Conduct role-specific security awareness and skills training. Example implementations include secure system administration courses for IT professionals, OWASP® Top 10 vulnerability awareness and prevention training for web application developers, and advanced social engineering awareness training for high-profile roles.</t>
  </si>
  <si>
    <t>Organiser une sensibilisation à la sécurité et une formation aux compétences spécifiques à chaque rôle. Parmi les exemples de mise en œuvre, citons les cours d'administration de systèmes sécurisés pour les professionnels de l'informatique, la formation à la sensibilisation et à la prévention des vulnérabilités du Top 10 de l'OWASP® pour les développeurs d'applications web, et la formation à la sensibilisation à l'ingénierie sociale avancée pour les rôles de haut niveau.</t>
  </si>
  <si>
    <t>15.01</t>
  </si>
  <si>
    <t>CIS 15</t>
  </si>
  <si>
    <t>Establish and Maintain an Inventory of Service Providers</t>
  </si>
  <si>
    <t>Établir et tenir à jour un inventaire des prestataires de services</t>
  </si>
  <si>
    <t xml:space="preserve">Establish and maintain an inventory of service providers. The inventory is to list all known service providers, include classification(s), and designate an enterprise contact for each service provider. Review and update the inventory annually, or when significant enterprise changes occur that could impact this Safeguard. </t>
  </si>
  <si>
    <t>Établir et tenir à jour un inventaire des fournisseurs de services. Cet inventaire doit dresser la liste de tous les fournisseurs de services connus, indiquer leur(s) classification(s) et désigner un contact au sein de l'entreprise pour chaque fournisseur de services. L'inventaire doit être revu et mis à jour chaque année, ou lorsque des changements importants interviennent dans l'entreprise et sont susceptibles d'avoir une incidence sur cette mesure de sauvegarde.</t>
  </si>
  <si>
    <t>15.02</t>
  </si>
  <si>
    <t>Establish and Maintain a Service Provider Management Policy</t>
  </si>
  <si>
    <t>Établir et maintenir une politique de gestion des prestataires de services</t>
  </si>
  <si>
    <t>Establish and maintain a service provider management policy. Ensure the policy addresses the classification, inventory, assessment, monitoring, and decommissioning of service providers. Review and update the policy annually, or when significant enterprise changes occur that could impact this Safeguard.</t>
  </si>
  <si>
    <t>Établir et maintenir une politique de gestion des fournisseurs de services. Veiller à ce que cette politique traite de la classification, de l'inventaire, de l'évaluation, de la surveillance et de la mise hors service des fournisseurs de services. Réviser et mettre à jour la politique chaque année, ou lorsque des changements importants interviennent au sein de l'entreprise et sont susceptibles d'avoir une incidence sur la présente mesure de sauvegarde.</t>
  </si>
  <si>
    <t>15.03</t>
  </si>
  <si>
    <t>Classify Service Providers</t>
  </si>
  <si>
    <t>Classer les prestataires de services</t>
  </si>
  <si>
    <t>Classify service providers. Classification consideration may include one or more characteristics, such as data sensitivity, data volume, availability requirements, applicable regulations, inherent risk, and mitigated risk. Update and review classifications annually, or when significant enterprise changes occur that could impact this Safeguard.</t>
  </si>
  <si>
    <t>Classer les fournisseurs de services. La classification peut prendre en compte une ou plusieurs caractéristiques, telles que la sensibilité des données, le volume des données, les exigences en matière de disponibilité, les réglementations applicables, les risques inhérents et les risques atténués. Mettre à jour et réviser les classifications chaque année, ou lorsque des changements importants au sein de l'entreprise se produisent et pourraient avoir une incidence sur cette mesure de sauvegarde.</t>
  </si>
  <si>
    <t>15.04</t>
  </si>
  <si>
    <t>Ensure Service Provider Contracts Include Security Requirements</t>
  </si>
  <si>
    <t>Veiller à ce que les contrats des fournisseurs de services incluent des exigences en matière de sécurité</t>
  </si>
  <si>
    <t>Ensure service provider contracts include security requirements. Example requirements may include minimum security program requirements, security incident and/or data breach notification and response, data encryption requirements, and data disposal commitments. These security requirements must be consistent with the enterprise’s service provider management policy. Review service provider contracts annually to ensure contracts are not missing security requirements.</t>
  </si>
  <si>
    <t>Veiller à ce que les contrats des fournisseurs de services contiennent des exigences en matière de sécurité. Il peut s'agir, par exemple, d'exigences minimales en matière de programme de sécurité, de notification et d'intervention en cas d'incident de sécurité et/ou de violation des données, d'exigences en matière de cryptage des données et d'engagements en matière d'élimination des données. Ces exigences de sécurité doivent être compatibles avec la politique de gestion des prestataires de services de l'entreprise. Examiner chaque année les contrats des prestataires de services pour s'assurer qu'ils ne comportent pas d'exigences en matière de sécurité.</t>
  </si>
  <si>
    <t>15.05</t>
  </si>
  <si>
    <t>Assess Service Providers</t>
  </si>
  <si>
    <t>Évaluer les prestataires de services</t>
  </si>
  <si>
    <t>Assess service providers consistent with the enterprise’s service provider management policy. Assessment scope may vary based on classification(s), and may include review of standardized assessment reports, such as Service Organization Control 2 (SOC 2) and Payment Card Industry (PCI) Attestation of Compliance (AoC), customized questionnaires, or other appropriately rigorous processes. Reassess service providers annually, at a minimum, or with new and renewed contracts.</t>
  </si>
  <si>
    <t>Évaluer les fournisseurs de services conformément à la politique de gestion des fournisseurs de services de l'entreprise. La portée de l'évaluation peut varier en fonction de la (des) classification(s) et peut inclure l'examen de rapports d'évaluation normalisés, tels que Service Organization Control 2 (SOC 2) et Payment Card Industry (PCI) Attestation of Compliance (AoC), des questionnaires personnalisés ou d'autres processus rigoureux appropriés. Réévaluer les fournisseurs de services au moins une fois par an, ou lors de la signature de nouveaux contrats ou du renouvellement de contrats existants.</t>
  </si>
  <si>
    <t>15.06</t>
  </si>
  <si>
    <t>Monitor Service Providers</t>
  </si>
  <si>
    <t>Contrôler les prestataires de services</t>
  </si>
  <si>
    <t>Monitor service providers consistent with the enterprise’s service provider management policy. Monitoring may include periodic reassessment of service provider compliance, monitoring service provider release notes, and dark web monitoring.</t>
  </si>
  <si>
    <t>Contrôler les fournisseurs de services conformément à la politique de gestion des fournisseurs de services de l'entreprise. Le contrôle peut comprendre une réévaluation périodique de la conformité du fournisseur de services, la surveillance des notes de mise à jour du fournisseur de services et la surveillance du dark web.</t>
  </si>
  <si>
    <t>15.07</t>
  </si>
  <si>
    <t>Securely Decommission Service Providers</t>
  </si>
  <si>
    <t>Déclasser les fournisseurs de services en toute sécurité</t>
  </si>
  <si>
    <t xml:space="preserve">Securely decommission service providers. Example considerations include user and service account deactivation, termination of data flows, and secure disposal of enterprise data within service provider systems. </t>
  </si>
  <si>
    <t>Mettre hors service les fournisseurs de services en toute sécurité. Parmi les exemples à prendre en compte, on peut citer la désactivation des comptes d'utilisateurs et de services, l'arrêt des flux de données et l'élimination sécurisée des données de l'entreprise dans les systèmes des fournisseurs de services.</t>
  </si>
  <si>
    <t>16.01</t>
  </si>
  <si>
    <t>CIS 16</t>
  </si>
  <si>
    <t>Establish and Maintain a Secure Application Development Process</t>
  </si>
  <si>
    <t>Établir et maintenir un processus de développement d'applications sécurisé</t>
  </si>
  <si>
    <t>Establish and maintain a secure application development process. In the process, address such items as: secure application design standards, secure coding practices, developer training, vulnerability management, security of third-party code, and application security testing procedures. Review and update documentation annually, or when significant enterprise changes occur that could impact this Safeguard.</t>
  </si>
  <si>
    <t>Établir et maintenir un processus de développement d'applications sécurisées. Dans le cadre de ce processus, des éléments tels que les normes de conception d'applications sécurisées, les pratiques de codage sécurisées, la formation des développeurs, la gestion des vulnérabilités, la sécurité des codes tiers et les procédures de test de la sécurité des applications doivent être pris en compte. Réviser et mettre à jour la documentation chaque année, ou lorsque des changements importants interviennent dans l'entreprise et pourraient avoir une incidence sur cette mesure de sauvegarde.</t>
  </si>
  <si>
    <t>16.02</t>
  </si>
  <si>
    <t>Establish and Maintain a Process to Accept and Address Software Vulnerabilities</t>
  </si>
  <si>
    <t>Établir et maintenir un processus d'acceptation et de traitement des vulnérabilités des logiciels</t>
  </si>
  <si>
    <t xml:space="preserve">Establish and maintain a process to accept and address reports of software vulnerabilities, including providing a means for external entities to report. The process is to include such items as: a vulnerability handling policy that identifies reporting process, responsible party for handling vulnerability reports, and a process for intake, assignment, remediation, and remediation testing. As part of the process, use a vulnerability tracking system that includes severity ratings, and metrics for measuring timing for identification, analysis, and remediation of vulnerabilities. Review and update documentation annually, or when significant enterprise changes occur that could impact this Safeguard.
Third-party application developers need to consider this an externally-facing policy that helps to set expectations for outside stakeholders. </t>
  </si>
  <si>
    <t>Établir et maintenir un processus pour accepter et traiter les rapports sur les vulnérabilités des logiciels, y compris en fournissant un moyen pour les entités externes de faire des rapports. Le processus doit comprendre des éléments tels que : une politique de traitement des vulnérabilités qui identifie le processus de signalement, la partie responsable du traitement des signalements de vulnérabilités et un processus de réception, d'attribution, de remédiation et de test de remédiation. Dans le cadre de ce processus, il convient d'utiliser un système de suivi des vulnérabilités comprenant des niveaux de gravité et des mesures permettant d'évaluer le temps nécessaire à l'identification, à l'analyse et à la correction des vulnérabilités. Réviser et mettre à jour la documentation chaque année, ou lorsque des changements importants interviennent dans l'entreprise et pourraient avoir une incidence sur cette mesure de sauvegarde. 
Les développeurs d'applications tierces doivent considérer qu'il s'agit d'une politique orientée vers l'extérieur qui contribue à définir les attentes des parties prenantes externes.</t>
  </si>
  <si>
    <t>16.03</t>
  </si>
  <si>
    <t>Perform Root Cause Analysis on Security Vulnerabilities</t>
  </si>
  <si>
    <t>Effectuer une analyse des causes profondes des vulnérabilités en matière de sécurité</t>
  </si>
  <si>
    <t>Perform root cause analysis on security vulnerabilities. When reviewing vulnerabilities, root cause analysis is the task of evaluating underlying issues that create vulnerabilities in code, and allows development teams to move beyond just fixing individual vulnerabilities as they arise.</t>
  </si>
  <si>
    <t>Effectuer une analyse des causes profondes des failles de sécurité. Lors de l'examen des vulnérabilités, l'analyse des causes profondes consiste à évaluer les problèmes sous-jacents qui créent des vulnérabilités dans le code, et permet aux équipes de développement d'aller au-delà de la simple correction des vulnérabilités individuelles au fur et à mesure qu'elles se présentent.</t>
  </si>
  <si>
    <t>16.04</t>
  </si>
  <si>
    <t>Establish and Manage an Inventory of Third-Party Software Components</t>
  </si>
  <si>
    <t>Établir et gérer un inventaire des composants logiciels tiers</t>
  </si>
  <si>
    <t>Establish and manage an updated inventory of third-party components used in development, often referred to as a “bill of materials,” as well as components slated for future use. This inventory is to include any risks that each third-party component could pose. Evaluate the list at least monthly to identify any changes or updates to these components, and validate that the component is still supported. </t>
  </si>
  <si>
    <t>Établir et gérer un inventaire actualisé des composants tiers utilisés dans le cadre du développement, souvent appelé « nomenclature », ainsi que des composants dont l'utilisation est prévue à l'avenir. Cet inventaire doit inclure tous les risques que chaque composant tiers pourrait présenter. Évaluer la liste au moins une fois par mois afin d'identifier tout changement ou toute mise à jour de ces composants et de s'assurer qu'ils sont toujours pris en charge.</t>
  </si>
  <si>
    <t>16.05</t>
  </si>
  <si>
    <t>Use Up-to-Date and Trusted Third-Party Software Components</t>
  </si>
  <si>
    <t>Utiliser des composants logiciels tiers actualisés et fiables</t>
  </si>
  <si>
    <t>Use up-to-date and trusted third-party software components. When possible, choose established and proven frameworks and libraries that provide adequate security. Acquire these components from trusted sources or evaluate the software for vulnerabilities before use.</t>
  </si>
  <si>
    <t>Utiliser des composants logiciels tiers actualisés et fiables. Dans la mesure du possible, choisissez des cadres et des bibliothèques établis et éprouvés qui offrent une sécurité adéquate. Acquérir ces composants auprès de sources fiables ou évaluer les vulnérabilités du logiciel avant de l'utiliser.</t>
  </si>
  <si>
    <t>16.06</t>
  </si>
  <si>
    <t>Establish and Maintain a Severity Rating System and Process for Application Vulnerabilities</t>
  </si>
  <si>
    <t>Établir et maintenir un système et un processus d'évaluation de la gravité des vulnérabilités des applications</t>
  </si>
  <si>
    <t>Establish and maintain a severity rating system and process for application vulnerabilities that facilitates prioritizing the order in which discovered vulnerabilities are fixed. This process includes setting a minimum level of security acceptability for releasing code or applications. Severity ratings bring a systematic way of triaging vulnerabilities that improves risk management and helps ensure the most severe bugs are fixed first. Review and update the system and process annually.</t>
  </si>
  <si>
    <t>Établir et maintenir un système et un processus d'évaluation de la gravité des vulnérabilités des applications qui facilite la hiérarchisation de l'ordre dans lequel les vulnérabilités découvertes sont corrigées. Ce processus comprend la fixation d'un niveau minimum de sécurité acceptable pour la publication du code ou des applications. L'évaluation de la gravité permet de trier les vulnérabilités de manière systématique, ce qui améliore la gestion des risques et contribue à garantir que les bogues les plus graves sont corrigés en premier. Examiner et mettre à jour le système et le processus chaque année.</t>
  </si>
  <si>
    <t>16.07</t>
  </si>
  <si>
    <t>Use Standard Hardening Configuration Templates for Application Infrastructure</t>
  </si>
  <si>
    <t>Utiliser des modèles de configuration de renforcement standard pour l'infrastructure d'application</t>
  </si>
  <si>
    <t>Use standard, industry-recommended hardening configuration templates for application infrastructure components. This includes underlying servers, databases, and web servers, and applies to cloud containers, Platform as a Service (PaaS) components, and SaaS components. Do not allow in-house developed software to weaken configuration hardening.</t>
  </si>
  <si>
    <t>Utilisez des modèles de configuration de renforcement standard et recommandés par l'industrie pour les composants de l'infrastructure applicative. Cela inclut les serveurs sous-jacents, les bases de données et les serveurs web, et s'applique aux conteneurs cloud, aux composants PaaS (Platform as a Service) et aux composants SaaS. Ne laissez pas les logiciels développés en interne affaiblir le renforcement de la configuration.</t>
  </si>
  <si>
    <t>16.08</t>
  </si>
  <si>
    <t>Separate Production and Non-Production Systems</t>
  </si>
  <si>
    <t>Séparer les systèmes de production et de non-production</t>
  </si>
  <si>
    <t>Maintain separate environments for production and non-production systems.</t>
  </si>
  <si>
    <t>Maintenir des environnements distincts pour les systèmes de production et de non-production.</t>
  </si>
  <si>
    <t>16.09</t>
  </si>
  <si>
    <t>Train Developers in Application Security Concepts and Secure Coding</t>
  </si>
  <si>
    <t>Former les développeurs aux concepts de sécurité des applications et au codage sécurisé</t>
  </si>
  <si>
    <t>Ensure that all software development personnel receive training in writing secure code for their specific development environment and responsibilities. Training can include general security principles and application security standard practices. Conduct training at least annually and design in a way to promote security within the development team, and build a culture of security among the developers.</t>
  </si>
  <si>
    <t>Veiller à ce que l'ensemble du personnel chargé du développement des logiciels reçoive une formation à l'écriture d'un code sécurisé pour son environnement de développement spécifique et ses responsabilités. La formation peut porter sur les principes généraux de sécurité et sur les pratiques standard en matière de sécurité des applications. Organiser la formation au moins une fois par an et la concevoir de manière à promouvoir la sécurité au sein de l'équipe de développement et à instaurer une culture de la sécurité parmi les développeurs.</t>
  </si>
  <si>
    <t>16.10</t>
  </si>
  <si>
    <t>Apply Secure Design Principles in Application Architectures</t>
  </si>
  <si>
    <t>Appliquer les principes de conception sécurisée dans les architectures d'application</t>
  </si>
  <si>
    <t>Apply secure design principles in application architectures. Secure design principles include the concept of least privilege and enforcing mediation to validate every operation that the user makes, promoting the concept of "never trust user input." Examples include ensuring that explicit error checking is performed and documented for all input, including for size, data type, and acceptable ranges or formats. Secure design also means minimizing the application infrastructure attack surface, such as turning off unprotected ports and services, removing unnecessary programs and files, and renaming or removing default accounts.</t>
  </si>
  <si>
    <t>Appliquer des principes de conception sécurisés dans les architectures d'application. Les principes de conception sécurisée comprennent le concept du moindre privilège et l'application de la médiation pour valider chaque opération effectuée par l'utilisateur, en promouvant le concept de "ne jamais faire confiance à l'entrée de l'utilisateur". Il s'agit par exemple de s'assurer qu'une vérification explicite des erreurs est effectuée et documentée pour toutes les entrées, notamment en ce qui concerne la taille, le type de données et les plages ou formats acceptables. La conception sécurisée implique également de minimiser la surface d'attaque de l'infrastructure de l'application, par exemple en désactivant les ports et les services non protégés, en supprimant les programmes et les fichiers inutiles et en renommant ou en supprimant les comptes par défaut.</t>
  </si>
  <si>
    <t>16.11</t>
  </si>
  <si>
    <t>Leverage Vetted Modules or Services for Application Security Components</t>
  </si>
  <si>
    <t>Tirez parti des modules ou services approuvés pour les composants de sécurité des applications</t>
  </si>
  <si>
    <t>Leverage vetted modules or services for application security components, such as identity management, encryption, and auditing and logging. Using platform features in critical security functions will reduce developers’ workload and minimize the likelihood of design or implementation errors. Modern operating systems provide effective mechanisms for identification, authentication, and authorization and make those mechanisms available to applications. Use only standardized, currently accepted, and extensively reviewed encryption algorithms. Operating systems also provide mechanisms to create and maintain secure audit logs.</t>
  </si>
  <si>
    <t>Exploitez des modules ou services approuvés pour les composants de sécurité des applications, tels que la gestion des identités, le chiffrement, l'audit et la journalisation. L'utilisation de fonctionnalités de plateforme dans les fonctions de sécurité critiques réduira la charge de travail des développeurs et minimisera le risque d'erreurs de conception ou d'implémentation. Les systèmes d'exploitation modernes offrent des mécanismes efficaces d'identification, d'authentification et d'autorisation, et les mettent à disposition des applications. Utilisez uniquement des algorithmes de chiffrement standardisés, reconnus et largement testés. Les systèmes d'exploitation fournissent également des mécanismes pour créer et maintenir des journaux d'audit sécurisés.</t>
  </si>
  <si>
    <t>16.12</t>
  </si>
  <si>
    <t>Implement Code-Level Security Checks</t>
  </si>
  <si>
    <t>Mettre en œuvre des contrôles de sécurité au niveau du code</t>
  </si>
  <si>
    <t>Apply static and dynamic analysis tools within the application life cycle to verify that secure coding practices are being followed.</t>
  </si>
  <si>
    <t>Appliquez des outils d’analyse statique et dynamique tout au long du cycle de vie de l’application pour vérifier que les pratiques de codage sécurisées sont suivies. (SAST / DAST)</t>
  </si>
  <si>
    <t>16.13</t>
  </si>
  <si>
    <t>Conduct Application Penetration Testing</t>
  </si>
  <si>
    <t>Effectuer des tests de pénétration d'applications</t>
  </si>
  <si>
    <t>Conduct application penetration testing. For critical applications, authenticated penetration testing is better suited to finding business logic vulnerabilities than code scanning and automated security testing. Penetration testing relies on the skill of the tester to manually manipulate an application as an authenticated and unauthenticated user. </t>
  </si>
  <si>
    <t>Effectuer des tests de pénétration d'applications. Pour les applications critiques, les tests de pénétration authentifiés sont plus adaptés à la détection des vulnérabilités de la logique métier que l'analyse de code et les tests de sécurité automatisés. Les tests de pénétration reposent sur la capacité du testeur à manipuler manuellement une application en tant qu'utilisateur authentifié et non authentifié.</t>
  </si>
  <si>
    <t>16.14</t>
  </si>
  <si>
    <t>Conduct Threat Modeling</t>
  </si>
  <si>
    <t>Modélisation de la menace</t>
  </si>
  <si>
    <t>Conduct threat modeling. Threat modeling is the process of identifying and addressing application security design flaws within a design, before code is created. It is conducted through specially trained individuals who evaluate the application design and gauge security risks for each entry point and access level. The goal is to map out the application, architecture, and infrastructure in a structured way to understand its weaknesses.</t>
  </si>
  <si>
    <t>Modéliser les menaces. La modélisation des menaces consiste à identifier et à corriger les failles de sécurité d'une application, avant même la création du code. Elle est réalisée par des personnes spécialement formées qui évaluent la conception de l'application et évaluent les risques de sécurité pour chaque point d'entrée et niveau d'accès. L'objectif est de cartographier l'application, l'architecture et l'infrastructure de manière structurée afin d'en comprendre les faiblesses.</t>
  </si>
  <si>
    <t>17.01</t>
  </si>
  <si>
    <t>CIS 17</t>
  </si>
  <si>
    <t>Designate Personnel to Manage Incident Handling</t>
  </si>
  <si>
    <t>Désigner le personnel chargé de gérer les incidents</t>
  </si>
  <si>
    <t>Designate one key person, and at least one backup, who will manage the enterprise’s incident handling process. Management personnel are responsible for the coordination and documentation of incident response and recovery efforts and can consist of employees internal to the enterprise, third-party vendors, or a hybrid approach. If using a third-party vendor, designate at least one person internal to the enterprise to oversee any third-party work. Review annually, or when significant enterprise changes occur that could impact this Safeguard.</t>
  </si>
  <si>
    <t>Désigner une personne clé, et au moins un remplaçant, qui gérera le processus de traitement des incidents de l'entreprise. Le personnel de gestion est responsable de la coordination et de la documentation des efforts de réponse et de récupération en cas d'incident et peut-être composé d'employés internes à l'entreprise, de fournisseurs de services ou d'une approche hybride. Si l'entreprise fait appel à un prestataire de services, elle doit désigner au moins une personne interne à l'entreprise pour superviser le travail de la tierce partie. Réviser le plan de sauvegarde chaque année ou lorsque des changements importants interviennent dans l'entreprise et pourraient avoir une incidence sur ce plan de sauvegarde.</t>
  </si>
  <si>
    <t>17.02</t>
  </si>
  <si>
    <t>Establish and Maintain Contact Information for Reporting Security Incidents</t>
  </si>
  <si>
    <t>Établir et tenir à jour les coordonnées des personnes à contacter pour signaler les incidents de sécurité</t>
  </si>
  <si>
    <t>Establish and maintain contact information for parties that need to be informed of security incidents. Contacts may include internal staff, third-party vendors, law enforcement, cyber insurance providers, relevant government agencies, Information Sharing and Analysis Center (ISAC) partners, or other stakeholders. Verify contacts annually to ensure that information is up-to-date.</t>
  </si>
  <si>
    <t>Établir et tenir à jour les coordonnées des parties qui doivent être informées des incidents de sécurité. Les contacts peuvent être le personnel interne, les fournisseurs de services, les forces de l'ordre, les fournisseurs de cyberassurance, les agences gouvernementales concernées, les partenaires du centre de partage et d'analyse de l'information (ISAC) ou d'autres parties prenantes. Vérifier les contacts chaque année pour s'assurer que les informations sont à jour.</t>
  </si>
  <si>
    <t>17.03</t>
  </si>
  <si>
    <t>Establish and Maintain an Enterprise Process for Reporting Incidents</t>
  </si>
  <si>
    <t>Établir et maintenir un processus d'entreprise pour la notification des incidents</t>
  </si>
  <si>
    <t>Establish and maintain an enterprise process for the workforce to report security incidents. The process includes reporting timeframe, personnel to report to, mechanism for reporting, and the minimum information to be reported. Ensure the process is publicly available to all of the workforce. Review annually, or when significant enterprise changes occur that could impact this Safeguard.</t>
  </si>
  <si>
    <t>Établir et maintenir un processus d'entreprise documenté permettant au personnel de signaler les incidents de sécurité. Cette procédure prévoit un délai de signalement, le nom des personnes à qui s'adresser, le mécanisme de signalement et les informations minimales à communiquer. Veiller à ce que le processus soit accessible à l'ensemble du personnel. Réviser le processus chaque année ou lorsque des changements importants interviennent dans l'entreprise et pourraient avoir une incidence sur cette mesure de sauvegarde.</t>
  </si>
  <si>
    <t>17.04</t>
  </si>
  <si>
    <t>Establish and Maintain an Incident Response Process</t>
  </si>
  <si>
    <t>Établir et maintenir un processus de réponse aux incidents</t>
  </si>
  <si>
    <t>Establish and maintain an incident response process that addresses roles and responsibilities, compliance requirements, and a communication plan. Review annually, or when significant enterprise changes occur that could impact this Safeguard.</t>
  </si>
  <si>
    <t>Établir et maintenir un processus documenté de réponse aux incidents qui traite des rôles et des responsabilités, des exigences de conformité et d'un plan de communication. Révision annuelle ou en cas de changements importants dans l'entreprise susceptibles d'avoir une incidence sur cette mesure de sauvegarde.</t>
  </si>
  <si>
    <t>17.05</t>
  </si>
  <si>
    <t>Assign Key Roles and Responsibilities</t>
  </si>
  <si>
    <t>Attribuer des rôles et des responsabilités clés</t>
  </si>
  <si>
    <t>Assign key roles and responsibilities for incident response, including staff from legal, IT, information security, facilities, public relations, human resources, incident responders, and analysts, as applicable. Review annually, or when significant enterprise changes occur that could impact this Safeguard.</t>
  </si>
  <si>
    <t>Attribuer des rôles et des responsabilités clés pour la réponse aux incidents, notamment au personnel des services juridiques, de l'informatique, de la sécurité de l'information, des installations, des relations publiques, des ressources humaines, aux personnes chargées de répondre aux incidents et aux analystes. Révision annuelle ou lorsque des changements importants au sein de l'entreprise sont susceptibles d'avoir une incidence sur la présente mesure de sauvegarde.</t>
  </si>
  <si>
    <t>17.06</t>
  </si>
  <si>
    <t>Define Mechanisms for Communicating During Incident Response</t>
  </si>
  <si>
    <t>Définir des mécanismes de communication pendant la réponse à l'incident</t>
  </si>
  <si>
    <t>Determine which primary and secondary mechanisms will be used to communicate and report during a security incident. Mechanisms can include phone calls, emails, or letters. Keep in mind that certain mechanisms, such as emails, can be affected during a security incident. Review annually, or when significant enterprise changes occur that could impact this Safeguard.</t>
  </si>
  <si>
    <t>Déterminez les mécanismes primaires et secondaires qui seront utilisés pour communiquer et rendre compte lors d'un incident de sécurité. Il peut s'agir d'appels téléphoniques, de courriels, de chats sécurisés ou de lettres de notification. Gardez à l'esprit que certains mécanismes, tels que les courriels, peuvent être affectés lors d'un incident de sécurité. Il convient de procéder à une révision annuelle ou lorsque des changements importants au sein de l'entreprise sont susceptibles d'avoir une incidence sur cette mesure de protection.</t>
  </si>
  <si>
    <t>17.07</t>
  </si>
  <si>
    <t>Conduct Routine Incident Response Exercises</t>
  </si>
  <si>
    <t>Effectuer des exercices de routine de réponse aux incidents</t>
  </si>
  <si>
    <t>Plan and conduct routine incident response exercises and scenarios for key personnel involved in the incident response process to prepare for responding to real-world incidents. Exercises need to test communication channels, decision making, and workflows. Conduct testing on an annual basis, at a minimum.</t>
  </si>
  <si>
    <t>Planifier et réaliser des exercices et des scénarios de réponse aux incidents pour le personnel clé impliqué dans le processus de réponse aux incidents afin de se préparer à répondre à des incidents réels. Les exercices doivent permettre de tester les canaux de communication, la prise de décision et les flux de travail. Les tests doivent être effectués au moins une fois par an.</t>
  </si>
  <si>
    <t>17.08</t>
  </si>
  <si>
    <t>Conduct Post-Incident Reviews</t>
  </si>
  <si>
    <t>Réaliser des examens après l'incident</t>
  </si>
  <si>
    <t>Conduct post-incident reviews. Post-incident reviews help prevent incident recurrence through identifying lessons learned and follow-up action.</t>
  </si>
  <si>
    <t>Procéder à des examens post-incidents. Les analyses post-incident permettent d'éviter que l'incident ne se reproduise en identifiant les enseignements tirés et les mesures de suivi.</t>
  </si>
  <si>
    <t>17.09</t>
  </si>
  <si>
    <t>Establish and Maintain Security Incident Thresholds</t>
  </si>
  <si>
    <t>Établir et maintenir des seuils d'incidents de sécurité</t>
  </si>
  <si>
    <t>Establish and maintain security incident thresholds, including, at a minimum, differentiating between an incident and an event. Examples can include: abnormal activity, security vulnerability, security weakness, data breach, privacy incident, etc. Review annually, or when significant enterprise changes occur that could impact this Safeguard.</t>
  </si>
  <si>
    <t>Établir et maintenir des seuils d'incidents de sécurité, y compris, au minimum, faire la différence entre un incident et un événement. Les exemples peuvent inclure : activité anormale, vulnérabilité de la sécurité, faiblesse de la sécurité, violation de données, incident lié à la protection de la vie privée, etc. Réviser ces seuils chaque année ou en cas de changements importants au sein de l'entreprise susceptibles d'avoir une incidence sur cette mesure de protection.</t>
  </si>
  <si>
    <t>18.01</t>
  </si>
  <si>
    <t>CIS 18</t>
  </si>
  <si>
    <t>Establish and Maintain a Penetration Testing Program</t>
  </si>
  <si>
    <t>Établir et maintenir un programme de tests de pénétration</t>
  </si>
  <si>
    <t>Establish and maintain a penetration testing program appropriate to the size, complexity, and maturity of the enterprise. Penetration testing program characteristics should include scope, such as network, web application, API, hosted services, and physical premise controls; frequency; limitations, such as acceptable hours, and excluded attack types; point of contact information; remediation, such as how findings will be routed internally; and, retrospective requirements.</t>
  </si>
  <si>
    <t>Établir et maintenir un programme de tests de pénétration adapté à la taille, à la complexité, au secteur d'activité et à la maturité de l'entreprise. Les caractéristiques du programme de tests d'intrusion comprennent le champ d'application (réseau, application web, interface de programmation d'application (API), services hébergés et contrôles des locaux physiques), la fréquence, les limites (heures acceptables et types d'attaques exclus), les informations sur le point de contact, les mesures correctives (comment les résultats seront acheminés en interne) et les exigences en matière de rétrospection.</t>
  </si>
  <si>
    <t>18.02</t>
  </si>
  <si>
    <t>Perform Periodic External Penetration Tests</t>
  </si>
  <si>
    <t>Effectuer des tests de pénétration externes périodiques</t>
  </si>
  <si>
    <t>Perform periodic external penetration tests based on program requirements, but no less than annually. External penetration testing should include enterprise and environmental reconnaissance to detect exploitable information. Penetration testing requires specialized skills and experience and must be conducted by a qualified party. The testing may be clear box or opaque box. See the Cloud Companion Guide for cloud-specific guidance.</t>
  </si>
  <si>
    <t>Effectuer des tests de pénétration externes périodiques en fonction des exigences du programme, au moins une fois par an. Les tests de pénétration externes doivent comprendre une reconnaissance de l'entreprise et de l'environnement afin de détecter les informations exploitables. Les tests de pénétration requièrent des compétences et une expérience spécialisées et doivent être effectués par une partie qualifiée. Les tests peuvent être effectués en boîte transparente ou en boîte opaque.</t>
  </si>
  <si>
    <t>18.03</t>
  </si>
  <si>
    <t>Remediate Penetration Test Findings</t>
  </si>
  <si>
    <t>Remédier aux résultats des tests de pénétration</t>
  </si>
  <si>
    <t>Remediate penetration test findings based on the enterprise’s policy for remediation scope and prioritization.</t>
  </si>
  <si>
    <t>Remédier aux résultats des tests de pénétration sur la base du processus documenté de remédiation des vulnérabilités de l'entreprise. Il s'agit notamment de déterminer un calendrier et un niveau d'effort en fonction de l'impact et de l'ordre de priorité de chaque résultat identifié.</t>
  </si>
  <si>
    <t>18.04</t>
  </si>
  <si>
    <t>Validate Security Measures</t>
  </si>
  <si>
    <t>Valider les mesures de sécurité</t>
  </si>
  <si>
    <t>Validate security measures after each penetration test. Enterprises should modify rulesets and capabilities to detect the techniques used by testers.</t>
  </si>
  <si>
    <t>Valider les mesures de sécurité après chaque test de pénétration. Si nécessaire, modifier les jeux de règles et les capacités pour détecter les techniques utilisées pendant les tests.</t>
  </si>
  <si>
    <t>18.05</t>
  </si>
  <si>
    <t>Perform Periodic Internal Penetration Tests</t>
  </si>
  <si>
    <t>Effectuer des tests de pénétration internes périodiques</t>
  </si>
  <si>
    <t>Perform periodic internal penetration tests based on program requirements, but no less than annually. The testing may be clear box or opaque box. See the Cloud Companion Guide for cloud-specific guidance.</t>
  </si>
  <si>
    <t>Effectuer des tests de pénétration internes périodiques sur la base des exigences du programme, au moins une fois par an. Les tests peuvent être effectués en boîte blanche ou en boîte noire.</t>
  </si>
  <si>
    <t>Title</t>
  </si>
  <si>
    <t>ControlNameEN</t>
  </si>
  <si>
    <t>ControlNameFR</t>
  </si>
  <si>
    <t>ControlDescriptionEN</t>
  </si>
  <si>
    <t>ControlDescriptionFR</t>
  </si>
  <si>
    <t>Inventory and Control of Enterprise Assets</t>
  </si>
  <si>
    <t>Inventaire et contrôle des actifs de l'entreprise</t>
  </si>
  <si>
    <t>Actively manage (inventory, track, and correct) all enterprise assets (end-user devices, including portable and mobile; network devices; non-computing/Internet of Things (IoT) devices; and servers) connected to the infrastructure physically, virtually, remotely, and those within cloud environments, to accurately know the totality of assets that need to be monitored and protected within the enterprise. This will also support identifying unauthorized and unmanaged assets to remove or remediate.</t>
  </si>
  <si>
    <t>Gérer activement (inventorier, suivre et corriger) tous les actifs de l'entreprise (appareils des utilisateurs finaux, y compris portables et mobiles ; appareils réseau ; appareils non informatiques/Internet des objets (IoT) ; et serveurs) connectés à l'infrastructure physiquement, virtuellement, à distance, et ceux dans les environnements cloud, afin de connaître avec précision l'ensemble des actifs qui doivent être surveillés et protégés au sein de l'entreprise. Cela permettra également d'identifier les actifs non autorisés et non gérés à supprimer ou à corriger.</t>
  </si>
  <si>
    <t>Inventory and Control of Software Assets</t>
  </si>
  <si>
    <t>Inventaire et contrôle des actifs logiciels</t>
  </si>
  <si>
    <t>Actively manage (inventory, track, and correct) all software (operating systems and applications) on the network so that only authorized software is installed and can execute, and that unauthorized and unmanaged software is found and prevented from installation or execution.</t>
  </si>
  <si>
    <t>Gérer activement (inventorier, suivre et corriger) tous les logiciels (systèmes d'exploitation et applications) sur le réseau afin que seuls les logiciels autorisés soient installés et puissent s'exécuter, et que les logiciels non autorisés et non gérés soient détectés et empêchés d'être installés ou exécutés.</t>
  </si>
  <si>
    <t>Data Protection</t>
  </si>
  <si>
    <t>Protection des données</t>
  </si>
  <si>
    <t>Develop processes and technical controls to identify, classify, securely handle, retain, and dispose of data.</t>
  </si>
  <si>
    <t>Développer des processus et des contrôles techniques pour identifier, classer, traiter, conserver et éliminer les données en toute sécurité.</t>
  </si>
  <si>
    <t>Secure Configuration of Enterprise Assets and Software</t>
  </si>
  <si>
    <t>Configuration sécurisée des actifs et des logiciels de l'entreprise</t>
  </si>
  <si>
    <t>Establish and maintain the secure configuration of enterprise assets (end-user devices, including portable and mobile; network devices; non-computing/IoT devices; and servers) and software (operating systems and applications).</t>
  </si>
  <si>
    <t>Établir et maintenir la configuration sécurisée des actifs de l'entreprise (dispositifs de l'utilisateur final, y compris portables et mobiles ; dispositifs de réseau ; dispositifs non informatiques/IoT ; et serveurs) et des logiciels (systèmes d'exploitation et applications).</t>
  </si>
  <si>
    <t>Account Management</t>
  </si>
  <si>
    <t>Gestion des comptes</t>
  </si>
  <si>
    <t>Use processes and tools to assign and manage authorization to credentials for user accounts, including administrator accounts, as well as service accounts, to enterprise assets and software.</t>
  </si>
  <si>
    <t>Utiliser des processus et des outils pour attribuer et gérer les autorisations des comptes d'utilisateurs, y compris les comptes d'administrateurs, ainsi que les comptes de service, pour les biens et les logiciels de l'entreprise.</t>
  </si>
  <si>
    <t>Access Control Management</t>
  </si>
  <si>
    <t>Gestion du contrôle d'accès</t>
  </si>
  <si>
    <t>Use processes and tools to create, assign, manage, and revoke access credentials and privileges for user, administrator, and service accounts for enterprise assets and software.</t>
  </si>
  <si>
    <t>Utiliser des processus et des outils pour créer, attribuer, gérer et révoquer les références d'accès et les privilèges des comptes d'utilisateurs, d'administrateurs et de services pour les biens et les logiciels de l'entreprise.</t>
  </si>
  <si>
    <t>Continuous Vulnerability Management</t>
  </si>
  <si>
    <t>Gestion continue de la vulnérabilité</t>
  </si>
  <si>
    <t>Develop a plan to continuously assess and track vulnerabilities on all enterprise assets within the enterprise’s infrastructure, in order to remediate, and minimize, the window of opportunity for attackers. Monitor public and private industry sources for new threat and vulnerability information.</t>
  </si>
  <si>
    <t>Élaborer un plan pour évaluer et suivre en permanence les vulnérabilités de tous les actifs de l'entreprise au sein de son infrastructure, afin d'y remédier et de réduire au minimum la fenêtre d'opportunité pour les attaquants. Surveiller les sources industrielles publiques et privées pour obtenir de nouvelles informations sur les menaces et les vulnérabilités.</t>
  </si>
  <si>
    <t>Audit Log Management</t>
  </si>
  <si>
    <t>Gestion du journal d'audit</t>
  </si>
  <si>
    <t>Collect, alert, review, and retain audit logs of events that could help detect, understand, or recover from an attack.</t>
  </si>
  <si>
    <t>Collecter, alerter, examiner et conserver les journaux d'audit des événements susceptibles de contribuer à la détection, à la compréhension ou au rétablissement d'une attaque.</t>
  </si>
  <si>
    <t>Email and Web Browser Protections</t>
  </si>
  <si>
    <t>Protection des courriels et des navigateurs web</t>
  </si>
  <si>
    <t>Improve protections and detections of threats from email and web vectors, as these are opportunities for attackers to manipulate human behavior through direct engagement.</t>
  </si>
  <si>
    <t>Améliorer la protection et la détection des menaces provenant du courrier électronique et des vecteurs web, car ce sont des occasions pour les attaquants de manipuler le comportement humain par le biais d'un engagement direct.</t>
  </si>
  <si>
    <t>Malware Defenses</t>
  </si>
  <si>
    <t>Défenses contre les logiciels malveillants</t>
  </si>
  <si>
    <t>Prevent or control the installation, spread, and execution of malicious applications, code, or scripts on enterprise assets.</t>
  </si>
  <si>
    <t>Empêcher ou contrôler l'installation, la diffusion et l'exécution d'applications, de codes ou de scripts malveillants sur les actifs de l'entreprise.</t>
  </si>
  <si>
    <t>Data Recovery</t>
  </si>
  <si>
    <t>Récupération des données</t>
  </si>
  <si>
    <t>Establish and maintain data recovery practices sufficient to restore in-scope enterprise assets to a pre-incident and trusted state.</t>
  </si>
  <si>
    <t>Établir et maintenir des pratiques de récupération des données suffisantes pour restaurer les actifs de l'entreprise dans le champ d'application à un état antérieur à l'incident et à un état de confiance.</t>
  </si>
  <si>
    <t>Network Infrastructure Management</t>
  </si>
  <si>
    <t>Gestion de l'infrastructure du réseau</t>
  </si>
  <si>
    <t>Establish, implement, and actively manage (track, report, correct) network devices, in order to prevent attackers from exploiting vulnerable network services and access points.</t>
  </si>
  <si>
    <t>Établir, mettre en œuvre et gérer activement (suivre, signaler, corriger) les dispositifs de réseau, afin d'empêcher les attaquants d'exploiter les services de réseau et les points d'accès vulnérables.</t>
  </si>
  <si>
    <t>Network Monitoring and Defense</t>
  </si>
  <si>
    <t>Surveillance et défense des réseaux</t>
  </si>
  <si>
    <t>Operate processes and tooling to establish and maintain comprehensive network monitoring and defense against security threats across the enterprise’s network infrastructure and user base.</t>
  </si>
  <si>
    <t>Utiliser des processus et des outils pour mettre en place et maintenir une surveillance complète du réseau et une défense contre les menaces de sécurité dans l'infrastructure du réseau de l'entreprise et la base d'utilisateurs.</t>
  </si>
  <si>
    <t>Security Awareness and Skills Training</t>
  </si>
  <si>
    <t>Formation à la sensibilisation et aux compétences en matière de sécurité</t>
  </si>
  <si>
    <t>Establish and maintain a security awareness program to influence behavior among the workforce to be security conscious and properly skilled to reduce cybersecurity risks to the enterprise.</t>
  </si>
  <si>
    <t>Mettre en place et maintenir un programme de sensibilisation à la sécurité afin d'influencer le comportement du personnel pour qu'il soit conscient de la sécurité et qu'il dispose des compétences nécessaires pour réduire les risques de cybersécurité pour l'entreprise.</t>
  </si>
  <si>
    <t>Service Provider Management</t>
  </si>
  <si>
    <t>Gestion des fournisseurs de services</t>
  </si>
  <si>
    <t>Develop a process to evaluate service providers who hold sensitive data, or are responsible for an enterprise’s critical IT platforms or processes, to ensure these providers are protecting those platforms and data appropriately.</t>
  </si>
  <si>
    <t>Développer un processus d'évaluation des fournisseurs de services qui détiennent des données sensibles ou qui sont responsables des plates-formes ou des processus informatiques critiques d'une entreprise, afin de s'assurer que ces fournisseurs protègent ces plates-formes et ces données de manière appropriée.</t>
  </si>
  <si>
    <t>Application Software Security</t>
  </si>
  <si>
    <t>Sécurité des logiciels et Applications</t>
  </si>
  <si>
    <t>Manage the security life cycle of in-house developed, hosted, or acquired software to prevent, detect, and remediate security weaknesses before they can impact the enterprise.</t>
  </si>
  <si>
    <t>Gérer le cycle de vie de la sécurité des logiciels développés en interne, hébergés ou acquis pour prévenir, détecter et corriger les faiblesses de sécurité avant qu'elles n'aient un impact sur l'entreprise.</t>
  </si>
  <si>
    <t>Incident Response Management</t>
  </si>
  <si>
    <t>Gestion des réponses aux incidents</t>
  </si>
  <si>
    <t>Establish a program to develop and maintain an incident response capability (e.g., policies, plans, procedures, defined roles, training, and communications) to prepare, detect, and quickly respond to an attack.</t>
  </si>
  <si>
    <t>Établir un programme pour développer et maintenir une capacité de réponse aux incidents (par exemple, des politiques, des plans, des procédures, des rôles définis, une formation et des communications) pour préparer, détecter et répondre rapidement à une attaque.</t>
  </si>
  <si>
    <t xml:space="preserve">Penetration Testing </t>
  </si>
  <si>
    <t>Test de pénétration</t>
  </si>
  <si>
    <t>Test the effectiveness and resiliency of enterprise assets through identifying and exploiting weaknesses in controls (people, processes, and technology), and simulating the objectives and actions of an attacker.</t>
  </si>
  <si>
    <t>Tester l'efficacité et la résilience des actifs de l'entreprise en identifiant et en exploitant les faiblesses des contrôles (personnes, processus et technologie) et en simulant les objectifs et les actions d'un attaquant.</t>
  </si>
  <si>
    <t>Risk Scenario Title EN</t>
  </si>
  <si>
    <t>Risk Scenario Title FR</t>
  </si>
  <si>
    <t>Risk Scenario Description EN</t>
  </si>
  <si>
    <t>Risk Scenario Description FR</t>
  </si>
  <si>
    <t>Taxo Cause EN</t>
  </si>
  <si>
    <t>Taxo Cause FR</t>
  </si>
  <si>
    <t>Taxo Risk EN</t>
  </si>
  <si>
    <t>Taxo Risk FR</t>
  </si>
  <si>
    <t>Taxo Impact EN</t>
  </si>
  <si>
    <t>Taxo Impact FR</t>
  </si>
  <si>
    <t>Theft or leakage of confidential data caused by malicious internal personnel</t>
  </si>
  <si>
    <t>Vol ou fuite de données confidentielles causé par du personnel interne malveillant</t>
  </si>
  <si>
    <t>Cause: Due to malicious action by internal personnel (employee/contractor),
Risk: there is a risk of theft or leakage of confidential or restricted data, including personal information,
Impact: which would lead to reputational damage, negative attention from regulators or financial losses.</t>
  </si>
  <si>
    <t>Cause : En raison d’une action malveillante du personnel interne (employé/contractuel),
Risque : il existe un risque de vol ou de fuite de données confidentielles ou restreintes, incluant des renseignements personnels,
Impact: ce qui entraînerait une atteinte à la réputation, une attention négative des régulateurs ou des pertes financières.</t>
  </si>
  <si>
    <t>- Detrimental human behavior
- Inadequate talent management
- Inadequate security and controls</t>
  </si>
  <si>
    <t>- Comportement humain préjudiciable
- Gestion des talents inadéquate
- Sécurité et contrôles inadéquats</t>
  </si>
  <si>
    <t>N4.05 Loss or leak of information</t>
  </si>
  <si>
    <t>N4.05 Perte ou fuite d'informations</t>
  </si>
  <si>
    <t>- Monetary loss ($)
- Customers / partners
- Employee
- Reputational
- Régulatory</t>
  </si>
  <si>
    <t>- Perte monétaire ($)
- Clients / partenaires
- Employés
- Réputationnel
- Réglementaire</t>
  </si>
  <si>
    <t>Élément</t>
  </si>
  <si>
    <t>7.0</t>
  </si>
  <si>
    <t>Theft or leakage of confidential data caused by a cybercriminal</t>
  </si>
  <si>
    <t>Vol ou fuite de données confidentielles causé par un cybercriminel</t>
  </si>
  <si>
    <t>Cause: Due to a malicious action by a cybercriminal,
Risk: there is a risk of theft or leakage of confidential or restricted data, including personal information, 
Impact: which would lead to reputational damage, negative attention from regulators or financial losses.</t>
  </si>
  <si>
    <t>Cause : En raison d’une action malveillante d’un cybercriminel,
Risque : il existe un risque de vol ou de fuite des données confidentielles ou restreintes, incluant des renseignements personnels, 
Impact : ce qui entraînerait une atteinte à la réputation, une attention négative des régulateurs ou des pertes financières.</t>
  </si>
  <si>
    <t xml:space="preserve">- Detrimental human behavior
- Inadequate talent management
- Inadequate documentation
- Inadequate architecture
- Inadequate IT solution development
- Inadequate information system management
- Inadequate security and controls
- Malicious activities </t>
  </si>
  <si>
    <t>- Comportement humain préjudiciable
- Gestion des talents inadéquate
- Documentation inadéquate
- Architecture inadéquate
- Développement de solutions informatiques inadéquat
- Gestion du système d'information inappropriée
- Sécurité et contrôles inadéquats
- Activités malveillantes</t>
  </si>
  <si>
    <t>8.0</t>
  </si>
  <si>
    <t>Degradation or unavailability of information technology caused by a third party</t>
  </si>
  <si>
    <t>Dégradation ou indisponibilité des technologies de l’information causée par un tiers</t>
  </si>
  <si>
    <t>Cause: Due to a failure of a technology or IT service provided by a third party,
Risk: there is a risk of performance degradation or unavailability of the information technology used by the assessable unit, 
Impact: which would result in damage to business relationships (e.g. complaints), affect employees (e.g. performance, achievement of objectives) or lead to financial losses, negative attention from regulators or damage to reputation.</t>
  </si>
  <si>
    <t>Cause : En raison d’une défaillance d’une technologie ou d’un service informatique fournis par un tiers,
Risque :  il existe un risque de dégradation de la performance ou d’indisponibilité des technologies de l’information utilisées par l’unité évaluable, 
Impact :  ce qui entraînerait un dommage aux relations d’affaires (ex. plaintes), affecterait les employés (ex. performance, atteinte d’objectifs) ou entraînerait des pertes financières, une attention négative des régulateurs ou une atteinte à la réputation.</t>
  </si>
  <si>
    <t>- Third party failure</t>
  </si>
  <si>
    <t>- Défaillance d'un tiers</t>
  </si>
  <si>
    <t>N4.08 Software malfunction (including unavailability)</t>
  </si>
  <si>
    <t>N4.08 Dysfonctionnement d’une application informatique (incluant l'indisponibilité)</t>
  </si>
  <si>
    <t>Degradation or unavailability of information technology caused by inadequate internal management</t>
  </si>
  <si>
    <t>Dégradation ou indisponibilité des technologies de l’information causée par une gestion interne inadéquate</t>
  </si>
  <si>
    <t>Cause:  Due to inadequate internal management of the assessable unit's information technology (including EUDs),
Risk: there is a risk of performance degradation or unavailability of the information technology used by the assessable unit, 
Impact: which would result in damage to business relationships (e.g. complaints), affect employees (e.g. performance, achievement of objectives) or lead to financial losses, negative attention from regulators or damage to reputation.</t>
  </si>
  <si>
    <t>Cause :  En raison de la gestion interne inadéquate des technologies de l’information de l’unité évaluable (incluant les DMU),
Risque : il existe un risque de dégradation de la performance ou d’indisponibilité des technologies de l’information utilisées par l’unité évaluable, 
Impact : ce qui entraînerait un dommage aux relations d’affaires (ex. plaintes), affecterait les employés (ex. performance, atteinte d’objectifs) ou entraînerait des pertes financières, une attention négative des régulateurs ou une atteinte à la réputation.</t>
  </si>
  <si>
    <t>- Inadequate talent management
- Flawed execution
- Inadequate documentation
- Inadequate architecture
- Inadequate IT solution development
- Inappropriate information system management
- Technical performance issues</t>
  </si>
  <si>
    <t>- Gestion inadéquate des talents
- Exécution défaillante
- Documentation inadéquate
- Architecture inadéquate
- Développement de solutions informatiques inadéquat
- Gestion du système d'information inappropriée
- Problème de performance technique</t>
  </si>
  <si>
    <t>Use of poor-quality data that does not meet the needs of the assessable unit</t>
  </si>
  <si>
    <t>Utilisation de données de mauvaise qualité qui ne répondent pas aux besoins de l’unité évaluable</t>
  </si>
  <si>
    <t>Cause: Due to inadequate design or faulty execution of a prior process when creating data,
Risk: there is a risk that low-quality data will be used, 
Impact: which would lead to errors, wasted time and additional costs.</t>
  </si>
  <si>
    <t>Cause :  En raison de la conception inadéquate ou de l’exécution défaillante d’un processus préalable lors de la création de données,
Risque : il existe un risque que des données de mauvaise qualité soient utilisées, 
Impact :  ce qui entraînerait des erreurs, des pertes de temps et des coûts additionnels.</t>
  </si>
  <si>
    <t>- Inadequate design
- Flawed execution
- Inadequate architecture
- Detrimental human behavior / Human error
- Detrimental human behavior / Complacency
- Inadequate talent management
- Inadequate controls and management
- Inadequate documentation
- Third party failure</t>
  </si>
  <si>
    <t>- Conception inadéquate
- Exécution défaillante
- Architecture inadéquate
- Comportement humain préjudiciable / erreur humaine
- Comportement humain préjudiciable / complaisance
- Gestion des talents inadéquate
- Contrôles et gestion inadéquats
- Documentation inadéquate
- Défaillance d’un tiers</t>
  </si>
  <si>
    <t>N4.02 Consumption or production of data whose quality does not meet business needs</t>
  </si>
  <si>
    <t>N4.02 Consommation ou production de données dont la qualité ne répond pas aux besoins d'affaires</t>
  </si>
  <si>
    <t>- Monetary loss ($)
- Employee</t>
  </si>
  <si>
    <t>- Perte monétaire ($)
- Employés</t>
  </si>
  <si>
    <t>Missing data for decision-making or process execution</t>
  </si>
  <si>
    <t>Données manquantes pour la prise de décision ou l’exécution d’un processus</t>
  </si>
  <si>
    <t>Cause:  Due to inadequate design or faulty execution of a process,
Risk: there is a risk that the required data will not be available in the required time, 
Impact: which would lead to delays, additional costs or negatively affect decision-making.</t>
  </si>
  <si>
    <t>Cause :  En raison de la conception inadéquate ou de l’exécution défaillante d’un processus,
Risque :  il existe un risque que les données requises ne soient pas disponibles dans les temps requis, 
Impact : ce qui entraînerait des délais, des coûts additionnels ou affecterait négativement une prise de décision.</t>
  </si>
  <si>
    <t>- Inadequate talent management
- Inadequate design
- Flawed execution
- Inadequate architecture
- Inadequate documentation</t>
  </si>
  <si>
    <t>- Gestion inadéquate des talents
- Conception inadéquate
- Exécution défaillante
- Architecture inadéquate
- Documentation inadéquate</t>
  </si>
  <si>
    <t>N4.03 Lack of data accessibility</t>
  </si>
  <si>
    <t>N4.03 Manque d'accessibilité aux données</t>
  </si>
  <si>
    <t>CC_TaxonomieCauses2LDD[Titre]</t>
  </si>
  <si>
    <t>CC_TaxonomieCauses2LDD[Causes_N2_FR]</t>
  </si>
  <si>
    <t>CC_TaxonomieCauses2LDD[Causes_N3_FR]</t>
  </si>
  <si>
    <t>CC_TaxonomieCauses2LDD[Causes_N4_FR]</t>
  </si>
  <si>
    <t>CC_TaxonomieCauses2LDD[Lien causes SI]</t>
  </si>
  <si>
    <t>CC_TaxonomieCauses2LDD[ID]</t>
  </si>
  <si>
    <t>CC_TaxonomieCauses2LDD[Causes_N2_EN]</t>
  </si>
  <si>
    <t>CC_TaxonomieCauses2LDD[Cause_N3_EN]</t>
  </si>
  <si>
    <t>CC_TaxonomieCauses2LDD[Cause_N4_EN]</t>
  </si>
  <si>
    <t>CC_TaxonomieCauses2LDD[Description EN]</t>
  </si>
  <si>
    <t>CC_TaxonomieCauses2LDD[Description FR]</t>
  </si>
  <si>
    <t>ID_Cause_1</t>
  </si>
  <si>
    <t>01. Culture d'entreprise et ressources humaines</t>
  </si>
  <si>
    <t>01. Culture d'entreprise et mesures d'incitation mal alignées</t>
  </si>
  <si>
    <t>01. Culture d'entreprise</t>
  </si>
  <si>
    <t>[Table]</t>
  </si>
  <si>
    <t>01. Corporate culture &amp; Human Ressources</t>
  </si>
  <si>
    <t>01. Misaligned incentives and corporate culture</t>
  </si>
  <si>
    <t>01. Corporate culture</t>
  </si>
  <si>
    <t>The corporate culture does not favor the balance between risk-taking and reward, encouraging risky behavior that can lead to a risk event.</t>
  </si>
  <si>
    <t>La culture d'entreprise ne favorise pas l'équilibre entre prise de risque et récompense, encourageant des comportements à risque, pouvant donner lieu à un évènement de risque.</t>
  </si>
  <si>
    <t>ID_Cause_2</t>
  </si>
  <si>
    <t>02. Modèle de rémunération et de reconnaissance inapproprié</t>
  </si>
  <si>
    <t>02. Inadequate compensation and recognition model</t>
  </si>
  <si>
    <t>Remuneration and recognition systems that do not encourage the adoption of appropriate behaviors, which can lead to a risk event.</t>
  </si>
  <si>
    <t>Système de rémunération et de reconnaissance ne favorisant pas l'adoption de comportements adéquats, pouvant donner lieu à un évènement de risque.</t>
  </si>
  <si>
    <t>ID_Cause_3</t>
  </si>
  <si>
    <t>02. Comportement humain préjudiciable</t>
  </si>
  <si>
    <t>03. Erreur humaine</t>
  </si>
  <si>
    <t>02. Detrimental Human Behavior</t>
  </si>
  <si>
    <t>03. Human error</t>
  </si>
  <si>
    <t>An error committed by an individual (e.g. miscommunication, handling error, carelessness, poor judgment, incorrect assumption), which may give rise to a risk event.</t>
  </si>
  <si>
    <t>Erreur commise par une personne (par exemple, mauvaise communication, erreur de manipulation, erreur d'inattention, mauvais jugement, hypothèse erronée), pouvant donner lieu à un évènement de risque.</t>
  </si>
  <si>
    <t>ID_Cause_4</t>
  </si>
  <si>
    <t>04. Faute grave (délibérée ou par négligence)</t>
  </si>
  <si>
    <t>04. Misconduct (deliberate or negligent)</t>
  </si>
  <si>
    <t>Deliberate or negligent behavior, or behavior inconsistent with corporate values (e.g. racial discrimination, information leaks, accounting manipulation), which may give rise to a risk event.</t>
  </si>
  <si>
    <t>Comportement délibéré ou négligent, ou comportement incohérent avec les valeurs de l'entreprise (ex : discrimination raciale, fuites d'informations, manipulation comptable), pouvant donner lieu à un évènement de risque.</t>
  </si>
  <si>
    <t>ID_Cause_5</t>
  </si>
  <si>
    <t>05. Pensée de groupe</t>
  </si>
  <si>
    <t>05. Groupthink</t>
  </si>
  <si>
    <t>Cultural phenomenon (group behavior): decisions taken within the company give precedence to individual over collective thinking, so that a true consensus cannot be reached, which can give rise to a risk event.</t>
  </si>
  <si>
    <t>Phénomène culturel (comportement de groupe) : les décisions prises au sein de l'entreprise privilégient la pensée individuelle par rapport à la pensée collective, de sorte qu'un véritable consensus ne peut être atteint, pouvant donner lieu à un évènement de risque.</t>
  </si>
  <si>
    <t>ID_Cause_6</t>
  </si>
  <si>
    <t>06. Complaisance</t>
  </si>
  <si>
    <t>06. Complacency</t>
  </si>
  <si>
    <t>Cultural phenomenon (group behavior): behavior within the company encourages and reinforces an excessive sense of security in the status quo, which can give rise to a risk event.</t>
  </si>
  <si>
    <t>Phénomène culturel (comportement de groupe) : les comportements au sein de l'entreprise favorisent et renforcent un sentiment excessif de sécurité dans le statu quo, pouvant donner lieu à un évènement de risque.</t>
  </si>
  <si>
    <t>ID_Cause_10</t>
  </si>
  <si>
    <t>03. Gestion des talents inadéquate</t>
  </si>
  <si>
    <t>10. Dépendance vis-à-vis des personnes clés / connaissances</t>
  </si>
  <si>
    <t>03. Inadequate talent management</t>
  </si>
  <si>
    <t>10. Key person / knowledge dependency</t>
  </si>
  <si>
    <t>Impossibility of compensating for the absence of a person with unique and irreplaceable skills and/or knowledge, which could result in a risk event.</t>
  </si>
  <si>
    <t>Impossibilité de compenser l'absence d'une personne possédant des compétences et/ou des connaissances uniques et irremplaçables, pouvant donner lieu à un évènement de risque.</t>
  </si>
  <si>
    <t>ID_Cause_11</t>
  </si>
  <si>
    <t>11. Acquisition ou accessibilité des talents restreinte</t>
  </si>
  <si>
    <t>11. Inadequate talent acquisition / accessibility</t>
  </si>
  <si>
    <t>Inability to acquire or access top talent, leading to a risk event.</t>
  </si>
  <si>
    <t>Incapacité d'acquérir ou d'accéder à des talents de premier plan, pouvant donner lieu à un évènement de risque.</t>
  </si>
  <si>
    <t>ID_Cause_7</t>
  </si>
  <si>
    <t>07. Formation et compétences inadéquates</t>
  </si>
  <si>
    <t>07. Inadequate training and skills</t>
  </si>
  <si>
    <t>Insufficient training or inadequate skills to perform a task, leading to a risk event.</t>
  </si>
  <si>
    <t>Formation insuffisante ou compétences insuffisantes pour exécuter une tâche, pouvant donner lieu à un évènement de risque.</t>
  </si>
  <si>
    <t>ID_Cause_8</t>
  </si>
  <si>
    <t>08. Contrôle des gestionnaires et supervision du personnel inadéquats</t>
  </si>
  <si>
    <t>08. Inadequate management control and supervision of staff</t>
  </si>
  <si>
    <t>Formation insuffisante ou compétences inadéquates pour effectuer une tâche, entraînant un événement à risque.</t>
  </si>
  <si>
    <t>Contrôle et/ou supervision insuffisante ou inadéquate du personnel, pouvant donner lieu à un évènement de risque.</t>
  </si>
  <si>
    <t>ID_Cause_9</t>
  </si>
  <si>
    <t>09. Ressources insuffisantes, non disponibles ou mal affectées</t>
  </si>
  <si>
    <t>9. Inadequate, unavailable, or poorly allocated resources</t>
  </si>
  <si>
    <t>Insufficient, unavailable or misallocated resources (e.g. loss of a team responsible for a critical operational process), which may give rise to a risk event.</t>
  </si>
  <si>
    <t>Ressources insuffisantes, indisponibles ou mal affectées  (ex : perte d'une équipe responsable d'un processus opérationnel critique), pouvant donner lieu à un évènement de risque.</t>
  </si>
  <si>
    <t>ID_Cause_12</t>
  </si>
  <si>
    <t>02. Stratégie et organisation</t>
  </si>
  <si>
    <t>04. Conception inadéquate</t>
  </si>
  <si>
    <t>12. Conception inadéquate de la stratégie</t>
  </si>
  <si>
    <t>02. Strategy &amp; Organization</t>
  </si>
  <si>
    <t>04. Inadequate design</t>
  </si>
  <si>
    <t>12. Inadequate strategy design</t>
  </si>
  <si>
    <t>Inappropriate design/establishment of a strategy or strategic objectives, e.g. without adequate consideration of all internal/external factors (e.g. geopolitical, economic, environmental, social, tax regulations) or even not aligned with the company's ambition, mission and values, may result in a risk event.</t>
  </si>
  <si>
    <t>Une conception / établissement d'une stratégie ou d'objectifs stratégiques inappropriés, par exemple sans tenir compte de manière adéquate de tous les facteurs internes / externes (ex: géopolitique, économique, environnement, social, règles fiscales) voire non alignée avec l'ambition, la mission et les valeurs de l'entreprise, pouvant donner lieu à un évènement de risque.</t>
  </si>
  <si>
    <t>ID_Cause_13</t>
  </si>
  <si>
    <t>13. Conception inadéquate d'un processus</t>
  </si>
  <si>
    <t>13. Inadequate process design</t>
  </si>
  <si>
    <t>Incomplete or defective design of a process, which may result in a risk event.</t>
  </si>
  <si>
    <t>Conception incomplète ou défectueuse d'un processus, pouvant donner lieu à un évènement de risque.</t>
  </si>
  <si>
    <t>ID_Cause_14</t>
  </si>
  <si>
    <t>05. Exécution défaillante</t>
  </si>
  <si>
    <t>14. Mauvaise exécution de la stratégie</t>
  </si>
  <si>
    <t>05. Flawed execution</t>
  </si>
  <si>
    <t>14. Poor strategy execution</t>
  </si>
  <si>
    <t>Poor implementation of the strategy, leading to a risk event.</t>
  </si>
  <si>
    <t>Une mauvaise mise en œuvre de la stratégie, pouvant donner lieu à un évènement de risque.</t>
  </si>
  <si>
    <t>ID_Cause_15</t>
  </si>
  <si>
    <t>15. Mauvaise exécution des processus</t>
  </si>
  <si>
    <t>15. Poor process execution</t>
  </si>
  <si>
    <t>Procedures that are poorly applied or executed late, leading to a poorly executed process that may result in a risk event.</t>
  </si>
  <si>
    <t>Procédures mal appliquées ou exécutées tardivement, conduisant à un processus mal exécuté, pouvant donner lieu à un évènement de risque.</t>
  </si>
  <si>
    <t>ID_Cause_16</t>
  </si>
  <si>
    <t>16. Échec de la gestion du changement dans les projets / initiatives</t>
  </si>
  <si>
    <t>16. Project / Initiative Change Management Failure</t>
  </si>
  <si>
    <t>Change management or planning, governance, execution of projects / initiatives, which may result in a risk event.</t>
  </si>
  <si>
    <t>Conduite du changement ou planification, gouvernance, exécution des projets / initiatives, pouvant donner lieu à un évènement de risque.</t>
  </si>
  <si>
    <t>ID_Cause_17</t>
  </si>
  <si>
    <t>17. Erreur ou mauvaise application d'un modèle</t>
  </si>
  <si>
    <t>17. Model error or wrong application</t>
  </si>
  <si>
    <t>Incorrect development, implementation or use of models (e.g. models used in an inappropriate context), which may result in a risk event.</t>
  </si>
  <si>
    <t>Développement, mise en œuvre ou utilisation incorrects des modèles (ex : modèles utilisés dans un contexte inapproprié), pouvant donner lieu à un évènement de risque.</t>
  </si>
  <si>
    <t>ID_Cause_18</t>
  </si>
  <si>
    <t>06. Contrôles et gestion inadéquats</t>
  </si>
  <si>
    <t>18. Contrôles de processus / gestion des contrôles inadéquats</t>
  </si>
  <si>
    <t>06. Inadequate controls and management</t>
  </si>
  <si>
    <t>18. Inadequate process controls / control management</t>
  </si>
  <si>
    <t>Inadequate process controls and/or control management (e.g. double-checking), which may result in a risk event.</t>
  </si>
  <si>
    <t>Contrôles de processus inadéquats et/ou gestion des contrôles (ex: double vérification), pouvant donner lieu à un évènement de risque.</t>
  </si>
  <si>
    <t>ID_Cause_19</t>
  </si>
  <si>
    <t>19. Gestion inadéquate des dossiers</t>
  </si>
  <si>
    <t>19. Inadequate management of records</t>
  </si>
  <si>
    <t>Poor management of files, whether physical or digital, which may result in a risk event.</t>
  </si>
  <si>
    <t>Mauvaise gestion des dossiers, qu'ils soient physiques ou numériques, pouvant donner lieu à un évènement de risque.</t>
  </si>
  <si>
    <t>ID_Cause_20</t>
  </si>
  <si>
    <t>07. Mauvaise gestion juridique, contractuelle ou réglementaire (y compris le code des impôts)</t>
  </si>
  <si>
    <t>20. Mauvaise gestion des obligations juridiques, normatives ou réglementaires</t>
  </si>
  <si>
    <t>07. Legal, Contractual, or Regulatory Mismanagement (incl. Tax Code)</t>
  </si>
  <si>
    <t>20. Poor legislative, normative or regulatory management</t>
  </si>
  <si>
    <t>Failure to identify, analyze, trace, assess the impact of, correctly interpret or apply legislation (including the tax code), case law, standards or regulations, which could result in a risk event.</t>
  </si>
  <si>
    <t>Défaut d'identification, d'analyse, de traçabilité, d'évaluation de l'impact, d'interprétation correcte ou d'application de la législation (y compris le code des impôts), de la jurisprudence, des normes ou de la réglementation, pouvant donner lieu à un évènement de risque.</t>
  </si>
  <si>
    <t>ID_Cause_21</t>
  </si>
  <si>
    <t>21. Contrat inadéquat</t>
  </si>
  <si>
    <t>21. Inadequate contract</t>
  </si>
  <si>
    <t>Absence of a contract that adequately protects the company (e.g. due to misinterpretation), which may result in a risk event.</t>
  </si>
  <si>
    <t>Absence d'un contrat protégeant adéquatement l'entreprise (ex : en raison d'une mauvaise interprétation), pouvant donner lieu à un évènement de risque.</t>
  </si>
  <si>
    <t>ID_Cause_22</t>
  </si>
  <si>
    <t>08. Gouvernance / modèle opérationnel inadéquats</t>
  </si>
  <si>
    <t>22. Structure de gouvernance ou modèle opérationnel inadéquat</t>
  </si>
  <si>
    <t>08. Inadequate governance / operating model</t>
  </si>
  <si>
    <t>22. Inadequate governance structure or operating model</t>
  </si>
  <si>
    <t>A poor governance structure or operating model (e.g. undefined escalation paths, insufficient supervision) leading to a risk event.</t>
  </si>
  <si>
    <t>Une structure de gouvernance ou un modèle opérationnel médiocre (par exemple, des voies d'escalade non définies, une supervision insuffisante) conduisant à un événement à risque.</t>
  </si>
  <si>
    <t>ID_Cause_23</t>
  </si>
  <si>
    <t>23. Surveillance ou reddition inadéquats</t>
  </si>
  <si>
    <t>23. Inadequate monitoring or reporting</t>
  </si>
  <si>
    <t>Incomplete, infrequent or absent monitoring of processes; erroneous, late or absent reporting on processes, which may result in a risk event.</t>
  </si>
  <si>
    <t>Surveillance incomplète, peu fréquente ou absente des processus ; rapports erronés, tardifs ou absents sur les processus, pouvant donner lieu à un évènement de risque.</t>
  </si>
  <si>
    <t>ID_Cause_24</t>
  </si>
  <si>
    <t>24. Communication inefficace</t>
  </si>
  <si>
    <t>24. Ineffective communication</t>
  </si>
  <si>
    <t>Ineffective communication, in the collaborative sense of the word, across the company or with external parties, which can result in a risk event.</t>
  </si>
  <si>
    <t>Une communication, au sens collaboratif du terme, inefficace à travers l'entreprise ou les parties externes, pouvant donner lieu à un évènement de risque.</t>
  </si>
  <si>
    <t>ID_Cause_25</t>
  </si>
  <si>
    <t>09. Documentation inadéquate</t>
  </si>
  <si>
    <t>25. Politiques ou manuels de procédures inadéquats</t>
  </si>
  <si>
    <t>09. Inadequate documentation</t>
  </si>
  <si>
    <t>25. Inadequate policies or procedure manuals</t>
  </si>
  <si>
    <t>Unclear, incomplete or missing policies or procedures that could result in a risk event.</t>
  </si>
  <si>
    <t>Politiques ou procédures peu claires, incomplètes ou manquantes, pouvant donner lieu à un évènement de risque.</t>
  </si>
  <si>
    <t>ID_Cause_26</t>
  </si>
  <si>
    <t>26. Documentation inadéquate (ex : modèle, processus, employé)</t>
  </si>
  <si>
    <t>26. Inadequate documentation (e.g. model, process, employee)</t>
  </si>
  <si>
    <t>Incorrect, incomplete or missing documentation may result in a risk event.</t>
  </si>
  <si>
    <t>La documentation est erronée, incomplète ou manquante, pouvant donner lieu à un évènement de risque.</t>
  </si>
  <si>
    <t>ID_Cause_27</t>
  </si>
  <si>
    <t>03. Technologies et infrastructures</t>
  </si>
  <si>
    <t>10. Architecture inadéquate</t>
  </si>
  <si>
    <t>27. Architecture d'entreprise inadéquate</t>
  </si>
  <si>
    <t>03. System and infrastructure</t>
  </si>
  <si>
    <t>10. Inadequate architecture</t>
  </si>
  <si>
    <t>27. Inadequate enterprise architecture</t>
  </si>
  <si>
    <t>Definition of the organisational structure, business strategy, and processes of the company are inadequate, which could lead to a risk event.</t>
  </si>
  <si>
    <t>La définition de la structure organisationnelle, la stratégie métier et les processus de l'entreprise est inadéquate, pouvant entraîner un événement à risque.</t>
  </si>
  <si>
    <t>ID_Cause_28</t>
  </si>
  <si>
    <t>28. Architecture des données inadéquate</t>
  </si>
  <si>
    <t>28. Inadequate data architecture</t>
  </si>
  <si>
    <t>Guidelines for storage and management of conceptual, logical, and physical data assets throughout their lifecycle are inadequate, which could lead to a risk event.</t>
  </si>
  <si>
    <t>Les directives de stockage et de gestion des actifs de données conceptuels, logiques et physiques tout au long de leur cycle de vie sont inadéquates, pouvant entraîner un événement à risque.</t>
  </si>
  <si>
    <t>ID_Cause_29</t>
  </si>
  <si>
    <t>29. Architecture applicative inadéquate</t>
  </si>
  <si>
    <t>29. Inadequate software architecture</t>
  </si>
  <si>
    <t>Organisation of application systems and the way they are linked to key business processes and to each other is inadequate, which could lead to a risk event.</t>
  </si>
  <si>
    <t>L'organisation des systèmes d'application et la manière dont ils sont liés aux principaux processus métier et entre eux est inadéquate, pouvant entraîner un événement à risque.</t>
  </si>
  <si>
    <t>ID_Cause_30</t>
  </si>
  <si>
    <t>30. Architecture technique inadéquate</t>
  </si>
  <si>
    <t>30. Inadequate hardware architecture</t>
  </si>
  <si>
    <t>Technical infrastructure (e.g. hardware, network) supporting strategic applications is inadequate, which could lead to a risk event.</t>
  </si>
  <si>
    <t>L'infrastructure technique (ex: matériel, réseau) supportant les applications stratégiques est inadéquate, pouvant entraîner un événement à risque.</t>
  </si>
  <si>
    <t>ID_Cause_31</t>
  </si>
  <si>
    <t>11. Développement de solution informatique inadéquat</t>
  </si>
  <si>
    <t>31. Mauvaise conception / spécification de la solution informatique</t>
  </si>
  <si>
    <t>11. Inadequate IT solution development</t>
  </si>
  <si>
    <t>31. Poor IT solution design</t>
  </si>
  <si>
    <t>Poor design/specification of the IT solution (e.g. over-complexity, non-scalability) that could lead to a risk event.</t>
  </si>
  <si>
    <t>Mauvaise conception / spécification de la solution informatique (ex: surcomplexité, non évolutivité), pouvant donner lieu à un évènement de risque.</t>
  </si>
  <si>
    <t>ID_Cause_32</t>
  </si>
  <si>
    <t>32. Développement et/ou contrôle de la qualité de la solution informatique inadéquats</t>
  </si>
  <si>
    <t>32. Inadequate IT solution development and/or testing</t>
  </si>
  <si>
    <t>Flawed and/or poorly executed development/testing methodology that could lead to a risk event.</t>
  </si>
  <si>
    <t>Méthodologie de développement / de test défaillante et/ou mal exécutée, pouvant donner lieu à un évènement de risque.</t>
  </si>
  <si>
    <t>ID_Cause_33</t>
  </si>
  <si>
    <t>33. Mauvaise configuration de la solution informatique</t>
  </si>
  <si>
    <t>33. Bad configuration of the IT solution</t>
  </si>
  <si>
    <t>Unspecified or poorly executed configuration of the parameters of the IT solution that could lead to a risk event.</t>
  </si>
  <si>
    <t>Configuration des paramètres de la solution informatique non spécifiée ou mal exécutée, pouvant donner lieu à un évènement de risque.</t>
  </si>
  <si>
    <t>ID_Cause_34</t>
  </si>
  <si>
    <t>12. Gestion du sytème d'information inappropriée</t>
  </si>
  <si>
    <t>34. Maintenance des applications et/ou du matériel informatique inadéquate</t>
  </si>
  <si>
    <t>12. Inadequate Information System management</t>
  </si>
  <si>
    <t>34. Inadequate maintenance of the systems and/or equipment</t>
  </si>
  <si>
    <t>Inadequate diagnosis, evolution, updates, and/or corrective measures of systems and/or equipment that could lead to a risk event.</t>
  </si>
  <si>
    <t>Diagnostic, évolutions, correctifs et/ou mises à jour inadéquats des applications et/ou du matériel informatique, pouvant donner lieu à un évènement de risque.</t>
  </si>
  <si>
    <t>ID_Cause_35</t>
  </si>
  <si>
    <t>35. Support externalisé des applications et/ou du matériel informatique inadéquat</t>
  </si>
  <si>
    <t>35. Inadequate external systems support</t>
  </si>
  <si>
    <t>Unavailable or inadequate external support for applications and/or computer hardware (e.g. due to technological obsolescence or lack of contract support) that could lead to a risk event.</t>
  </si>
  <si>
    <t>Support externalisé des applications et/ou du matériel informatique indisponible ou inadéquat (ex: en raison de l'obsolescence technologique ou de l'absence de contrat de support), pouvant donner lieu à un évènement de risque.</t>
  </si>
  <si>
    <t>ID_Cause_36</t>
  </si>
  <si>
    <t>36. Problèmes de déploiement / contrôle de version des logiciels/micrologiciels</t>
  </si>
  <si>
    <t>36. Deployment / version control issues</t>
  </si>
  <si>
    <t>Issues with deployment/version management of software/firmware that could lead to a risk event.</t>
  </si>
  <si>
    <t>Problèmes de déploiement / gestion des versions des logiciels/micrologiciels, pouvant donner lieu à un évènement de risque.</t>
  </si>
  <si>
    <t>ID_Cause_37</t>
  </si>
  <si>
    <t>13. Problème de performance technique</t>
  </si>
  <si>
    <t>37. Capacité insuffisante des applications et/ou du matériel informatique</t>
  </si>
  <si>
    <t>13. Technical performance issues</t>
  </si>
  <si>
    <t>37. Insufficient system capacity</t>
  </si>
  <si>
    <t>Inadequate capacity of applications and/or computer hardware (e.g. processing speed, storage, data transfer) for required operations that could lead to a risk event.</t>
  </si>
  <si>
    <t>Capacité des applications et/ou du matériel informatique (ex: vitesse de traitement, stockage, transfert de données) insuffisante pour les opérations requises, pouvant donner lieu à un évènement de risque.</t>
  </si>
  <si>
    <t>ID_Cause_38</t>
  </si>
  <si>
    <t>38. Performances inadéquates des applications et/ou du matériel informatique</t>
  </si>
  <si>
    <t>38. Inadequate system performance</t>
  </si>
  <si>
    <t>Applications and/or computer hardware features and functionalities not performing as intended, which could lead to a risk event.</t>
  </si>
  <si>
    <t>Les caractéristiques et les fonctionalités des applications et/ou du matériel informatique n'ont pas fonctionné comme prévu, pouvant donner lieu à un évènement de risque.</t>
  </si>
  <si>
    <t>ID_Cause_39</t>
  </si>
  <si>
    <t>14. Sécurité et contrôles inadéquats</t>
  </si>
  <si>
    <t>39. Sécurité physique inadéquate</t>
  </si>
  <si>
    <t>14. Inadequate security and controls</t>
  </si>
  <si>
    <t>39. Inadequate physical security</t>
  </si>
  <si>
    <t>Absence or insufficiency of physical security measures that could lead to a risk event.</t>
  </si>
  <si>
    <t>Sécurité des biens physiques absente ou insuffisante, pouvant donner lieu à un évènement de risque.</t>
  </si>
  <si>
    <t>ID_Cause_40</t>
  </si>
  <si>
    <t>40. Contrôles techniques inadéquats</t>
  </si>
  <si>
    <t>40. Inadequate technical controls</t>
  </si>
  <si>
    <t>Inadequate technical controls (e.g. access management or firewalls) that could lead to a risk event.</t>
  </si>
  <si>
    <t>Contrôles techniques inadéquats (ex : gestion des accès ou pare-feu), pouvant donner lieu à un évènement de risque.</t>
  </si>
  <si>
    <t>ID_Cause_41</t>
  </si>
  <si>
    <t>41. Sécurité logicielle inadéquate</t>
  </si>
  <si>
    <t>41. Inadequate software/application security</t>
  </si>
  <si>
    <t>Security vulnerability related to a software component/computer application that could lead to a risk event.</t>
  </si>
  <si>
    <t>Faille de sécurité relative à un composant logiciel/une application informatique, pouvant donner lieu à un évènement de risque.</t>
  </si>
  <si>
    <t>ID_Cause_42</t>
  </si>
  <si>
    <t>15. Faible qualité des données</t>
  </si>
  <si>
    <t>42. Faible qualité des données (N3)</t>
  </si>
  <si>
    <t>15. Poor data quality</t>
  </si>
  <si>
    <t>42. Poor data quality (N3)</t>
  </si>
  <si>
    <t>Incorrect data entry, storage, or maintenance that could result in a risk event.</t>
  </si>
  <si>
    <t>Mauvaise saisie, stockage ou maintenance des données, entraînant un événement à risque.</t>
  </si>
  <si>
    <t>ID_Cause_43</t>
  </si>
  <si>
    <t>16. Infrastructure non informatique inadéquate</t>
  </si>
  <si>
    <t>43. Infrastructure non informatique inadéquate (N3)</t>
  </si>
  <si>
    <t>16. Inadequate Non-IT infrastructure</t>
  </si>
  <si>
    <t>43. Inadequate Non-IT infrastructure (N3)</t>
  </si>
  <si>
    <t>Non-IT infrastructure (e.g. building, office supplies, location where computer hardware is kept) unsuitable to the needs of the company, which could lead to a risk event.</t>
  </si>
  <si>
    <t>L'infrastructure non informatique (ex : le bâtiment, les articles de bureau, lieu d'hébergement du matériel informatique) est inadaptée aux besoins de l'entreprise, pouvant donner lieu à un évènement de risque.</t>
  </si>
  <si>
    <t>ID_Cause_44</t>
  </si>
  <si>
    <t>04. Causes externes</t>
  </si>
  <si>
    <t>17. Défaillance d'un tiers</t>
  </si>
  <si>
    <t>44. Défaillance d'un tiers (N3)</t>
  </si>
  <si>
    <t>04. External Causes</t>
  </si>
  <si>
    <t>17. Third Party Failure</t>
  </si>
  <si>
    <t>44. Third Party Failure (N3)</t>
  </si>
  <si>
    <t>The inability of a third party (e.g. a supplier or service provider) to provide the contracted services or meet its financial obligations, which may result in a risk event.</t>
  </si>
  <si>
    <t>L'incapacité d'un tiers (ex : un fournisseur ou un prestataire de services) à fournir les services prévus dans le contrat ou à remplir ses obligations financières, pouvant donner lieu à un évènement de risque.</t>
  </si>
  <si>
    <t>ID_Cause_45</t>
  </si>
  <si>
    <t>18. Activités malveillantes</t>
  </si>
  <si>
    <t>45. Cyberattaque</t>
  </si>
  <si>
    <t>18. Malicious Activities</t>
  </si>
  <si>
    <t>45. Cyber criminal activities</t>
  </si>
  <si>
    <t>Malicious action carried out by individuals or groups aimed at disrupting, damaging or gaining unauthorized access to computer systems, networks or data (e.g. malware/ransomware, exploitation of vulnerabilities, denial of service attack, account takeover) which could lead to to a risk event.</t>
  </si>
  <si>
    <t>Action malveillante menée par des individus ou des groupes visant à perturber, endommager ou accéder sans autorisation à des systèmes informatiques, des réseaux ou des données (ex. logiciels malveillants, exploitation des vulnérabilités, attaque par déni de service, piratage de compte) pouvant mener à un évènement de risque.</t>
  </si>
  <si>
    <t>ID_Cause_46</t>
  </si>
  <si>
    <t>46. Activités criminelles non cybernétiques</t>
  </si>
  <si>
    <t>47. Non-cyber criminal activities</t>
  </si>
  <si>
    <t>Criminal or malicious activities involving a physical presence (e.g. hostage-taking), which may result in a risk event.</t>
  </si>
  <si>
    <t>Activités criminelles ou malveillantes impliquant une présence physique (ex: prise d'otages) , pouvant mener à un évènement de risque.</t>
  </si>
  <si>
    <t>ID_Cause_57</t>
  </si>
  <si>
    <t>57. Usurpation d'identité ou de marque</t>
  </si>
  <si>
    <t>46. Identity theft or brand impersonation</t>
  </si>
  <si>
    <t>Malicious action consisting of impersonating another person or a legitimate organization in order to obtain advantages, access sensitive information, commit illegal acts or damage brand or reputation, that could lead to a risk event. This cause is exacerbated by the emergence and democratization of technologies, such as tools exploiting artificial intelligence (e.g. personalized phishing campaign based on public data, use of a deepfake to commit "fake president fraud" or tarnish the organizational brand on social media, generation of illegitimate content based on large language models).</t>
  </si>
  <si>
    <t>Action malveillante consistant à se faire passer pour une autre personne ou pour une organisation légitime dans le but d'obtenir des avantages, d'accéder à des informations sensibles, de commettre des actes illégaux ou de porter atteinte à la marque ou à la réputation, pouvant donner lieu à un évènement de risque. Cette cause est exacerbée par l'émergence et la démocratisation des technologies, tels les outils exploitant l'intelligence artificielle (ex. campagne d'hameçonnage personnalisée à partir des données publiques, recours à l'hypertrucage ("deepfake") pour commettre une "fraude du président"ou ternir la marque de l'organisation sur les médias sociaux, génération de contenu illégitime fondé sur des grands modèles de langage).</t>
  </si>
  <si>
    <t>ID_Cause_47</t>
  </si>
  <si>
    <t>19. Catastrophes</t>
  </si>
  <si>
    <t>47. Crise sanitaire</t>
  </si>
  <si>
    <t>19. Disasters</t>
  </si>
  <si>
    <t>48. Health crisis</t>
  </si>
  <si>
    <t>Major health event (e.g. pandemic), which may result in a risk event.</t>
  </si>
  <si>
    <t>Évènement sanitaire majeur (ex: pandémie), pouvant donner lieu à un évènement de risque.</t>
  </si>
  <si>
    <t>ID_Cause_48</t>
  </si>
  <si>
    <t>48. Catastrophes accidentelles d'origine humaine</t>
  </si>
  <si>
    <t>49. Accidental man-made disasters</t>
  </si>
  <si>
    <t>Man-made disasters that are not malicious in nature (e.g. fire, gas leak), which can result in a risk event.</t>
  </si>
  <si>
    <t>Les catastrophes d'origine humaine qui ne sont pas de nature malveillante (par exemple, un feu, une fuite de gaz), pouvant donner lieu à un évènement de risque.</t>
  </si>
  <si>
    <t>ID_Cause_49</t>
  </si>
  <si>
    <t>49. Catastrophes malveillantes d'origine humaine</t>
  </si>
  <si>
    <t>50. Malicious man-made disasters</t>
  </si>
  <si>
    <t>Man-made disasters of a malicious nature (e.g. war, bombing) that can result in a risk event.</t>
  </si>
  <si>
    <t>Catastrophes d'origine humaine, de nature malveillante (par exemple, guerre, bombardements), pouvant donner lieu à un évènement de risque.</t>
  </si>
  <si>
    <t>ID_Cause_50</t>
  </si>
  <si>
    <t>50. Catastrophes naturelles</t>
  </si>
  <si>
    <t>51. Natural Disasters</t>
  </si>
  <si>
    <t>Natural disasters (e.g. volcanic eruptions, landslides and avalanches, hail, floods, winter storms, tornadoes, earthquakes, tsunamis and storm surges), which may result in a risk event.</t>
  </si>
  <si>
    <t>Catastrophes naturelles (ex : Eruptions volcaniques, glissements de terrain et avalanches, grêle, inondations, tempêtes d'hiver, tornades, tremblements de terre, tsunamis et ondes de tempête), pouvant donner lieu à un évènement de risque.</t>
  </si>
  <si>
    <t>ID_Cause_51</t>
  </si>
  <si>
    <t>20. Changement géopolitique</t>
  </si>
  <si>
    <t>51. Changement géopolitique (N3)</t>
  </si>
  <si>
    <t>20. Geopolitical changes</t>
  </si>
  <si>
    <t>51. Geopolitical changes (N3)</t>
  </si>
  <si>
    <t>Political changes, developments or activities (e.g. Brexit, regime changes), which could result in a risk event.</t>
  </si>
  <si>
    <t>Changements, évolutions ou activités politiques (par exemple, Brexit, changements de régime), pouvant donner lieu à un évènement de risque.</t>
  </si>
  <si>
    <t>ID_Cause_52</t>
  </si>
  <si>
    <t>21. Changement économique</t>
  </si>
  <si>
    <t>52. Changement économique (N3)</t>
  </si>
  <si>
    <t>21. Economic changes</t>
  </si>
  <si>
    <t>52. Economic changes (N3)</t>
  </si>
  <si>
    <t>Economic changes, such as a deterioration in financial market conditions leading to increased volatility or higher credit risk, which could increase pressure on the business model or adversely affect the company's profitability, financial strength and access to capital, potentially resulting in a risk event.</t>
  </si>
  <si>
    <t>Changements économiques, tels une dégradation des conditions sur les marchés financiers entraînant une hausse de la volatilité ou une hausse du risque de crédit, pouvant augmenter les pressions sur le modèle d’affaires ou avoir une incidence défavorable sur la rentabilité, la solidité financière et l’accès aux capitaux de la société, pouvant donner lieu à un évènement de risque.</t>
  </si>
  <si>
    <t>ID_Cause_53</t>
  </si>
  <si>
    <t>22. Changements environnementaux (hors catastrophe naturelle)</t>
  </si>
  <si>
    <t>53. Changements environnementaux (hors catastrophe naturelle) (N3)</t>
  </si>
  <si>
    <t>22. Environmental changes (excluding natural disasters)</t>
  </si>
  <si>
    <t>53. Environmental changes (excluding natural disasters) (N3)</t>
  </si>
  <si>
    <t>Environmental changes, including climate change (e.g. drought), that could result in a risk event.</t>
  </si>
  <si>
    <t>Changements environnementaux, incluant les changements climatiques (ex: sècheresse), pouvant donner lieu à un évènement de risque.</t>
  </si>
  <si>
    <t>ID_Cause_54</t>
  </si>
  <si>
    <t>23. Changements et innovations technologiques</t>
  </si>
  <si>
    <t>54. Changements et innovations technologiques (N3)</t>
  </si>
  <si>
    <t>23. Technological changes and innovation</t>
  </si>
  <si>
    <t>54. Technological changes and innovation (N3)</t>
  </si>
  <si>
    <t>Technological changes and innovations, such as rapidly evolving emerging technologies (e.g. artificial intelligence, robotics, machine learning, hyper-evolving platforms, increased bandwidth, faster data transmission), which could result in a risk event.</t>
  </si>
  <si>
    <t>Changements et innovations technologiques, tels que les technologies émergentes en évolution rapide (ex: l'intelligence artificielle, la robotique, l'apprentissage automatique, les plateformes hyper évolutives, l'augmentation de la bande passante, la transmission plus rapide des données), pouvant donner lieu à un évènement de risque.</t>
  </si>
  <si>
    <t>ID_Cause_55</t>
  </si>
  <si>
    <t>24. Changements sociaux</t>
  </si>
  <si>
    <t>55. Changements sociaux (N3)</t>
  </si>
  <si>
    <t>24. Social Change</t>
  </si>
  <si>
    <t>55. Social Change (N3)</t>
  </si>
  <si>
    <t>Social changes affecting all iA employees in a long-term way (e.g. hybrid/remote working, generational phenomenon), which could result in a risk event.</t>
  </si>
  <si>
    <t>Changements sociaux affectant l'ensemble des collaborateurs d'iA de manière durable (ex: travail hybride/à distance, phénomène générationnel), pouvant donner lieu à un évènement de risque.</t>
  </si>
  <si>
    <t>ID_Cause_56</t>
  </si>
  <si>
    <t>25. Changement du cadre légal ou normatif</t>
  </si>
  <si>
    <t>56. Changement du cadre légal ou normatif (N3)</t>
  </si>
  <si>
    <t>25. Changes in the legal or normative framework</t>
  </si>
  <si>
    <t>56. Changes in the legal or normative framework (N3)</t>
  </si>
  <si>
    <t>A change in applicable legislation, case law or regulations, a standard or a new regulatory interpretation of existing laws, regulations or existing decisions, which could result in a risk event.</t>
  </si>
  <si>
    <t>Modification de la législation, de la jurisprudence ou de la réglementation applicable, d'une norme ou d'une nouvelle interprétation réglementaire des lois, réglementations ou décisions existantes, pouvant mener à un évènement de risque.</t>
  </si>
  <si>
    <t>CC_TaxonomieRisques2LDD[N2 - FR]</t>
  </si>
  <si>
    <t>CC_TaxonomieRisques2LDD[N2 - EN]</t>
  </si>
  <si>
    <t>CC_TaxonomieRisques2LDD[N3 - FR]</t>
  </si>
  <si>
    <t>CC_TaxonomieRisques2LDD[N3 - EN]</t>
  </si>
  <si>
    <t>CC_TaxonomieRisques2LDD[N4 - FR]</t>
  </si>
  <si>
    <t>CC_TaxonomieRisques2LDD[N4 - EN]</t>
  </si>
  <si>
    <t>CC_TaxonomieRisques2LDD[Balise de couleur]</t>
  </si>
  <si>
    <t>CC_TaxonomieRisques2LDD[ID de ressource de conformité]</t>
  </si>
  <si>
    <t>CC_TaxonomieRisques2LDD[Type de contenu]</t>
  </si>
  <si>
    <t>CC_TaxonomieRisques2LDD[Modifié]</t>
  </si>
  <si>
    <t>CC_TaxonomieRisques2LDD[Créé]</t>
  </si>
  <si>
    <t>CC_TaxonomieRisques2LDD[Créé par]</t>
  </si>
  <si>
    <t>CC_TaxonomieRisques2LDD[Modifié par]</t>
  </si>
  <si>
    <t>CC_TaxonomieRisques2LDD[Version]</t>
  </si>
  <si>
    <t>CC_TaxonomieRisques2LDD[Pièces jointes]</t>
  </si>
  <si>
    <t>CC_TaxonomieRisques2LDD[Modifier]</t>
  </si>
  <si>
    <t>CC_TaxonomieRisques2LDD[Type]</t>
  </si>
  <si>
    <t>CC_TaxonomieRisques2LDD[Nombre d'éléments enfants]</t>
  </si>
  <si>
    <t>CC_TaxonomieRisques2LDD[Nombre d’enfants du dossier]</t>
  </si>
  <si>
    <t>CC_TaxonomieRisques2LDD[Paramètres de l’étiquette]</t>
  </si>
  <si>
    <t>CC_TaxonomieRisques2LDD[Étiquette de rétention]</t>
  </si>
  <si>
    <t>CC_TaxonomieRisques2LDD[Étiquette de rétention appliquée]</t>
  </si>
  <si>
    <t>CC_TaxonomieRisques2LDD[Étiquette appliquée par]</t>
  </si>
  <si>
    <t>CC_TaxonomieRisques2LDD[L’élément est un enregistrement]</t>
  </si>
  <si>
    <t>CC_TaxonomieRisques2LDD[Application créée par]</t>
  </si>
  <si>
    <t>CC_TaxonomieRisques2LDD[Application modifiée par]</t>
  </si>
  <si>
    <t>[CountID]</t>
  </si>
  <si>
    <t>N2.01 Risque opérationnel</t>
  </si>
  <si>
    <t>N2.01 Operational risk</t>
  </si>
  <si>
    <t>N3.01 Risque lié aux données</t>
  </si>
  <si>
    <t>N3.01 Data risk</t>
  </si>
  <si>
    <t>N4.01 Utilisation inacceptable des données</t>
  </si>
  <si>
    <t>N4.01 Unacceptable use of data</t>
  </si>
  <si>
    <t>N3.02 Risque lié à la sécurité de l'information</t>
  </si>
  <si>
    <t>N3.02 Information Security Risk</t>
  </si>
  <si>
    <t>N4.04 Accès non autorisé aux informations</t>
  </si>
  <si>
    <t>N4.04 Unauthorized access to information</t>
  </si>
  <si>
    <t>N4.06 Compromission de l&amp;#39;intégrité des données&lt;br&gt;</t>
  </si>
  <si>
    <t>N4.06 Data integrity compromise</t>
  </si>
  <si>
    <t>N3.03 Risque lié aux technologies de l'information</t>
  </si>
  <si>
    <t>N3.03 Information Technology Risk</t>
  </si>
  <si>
    <t>N4.07 Dysfonctionnement du matériel informatique (incluant l'indisponibilité)</t>
  </si>
  <si>
    <t>N4.07 Hardware malfunction (including unavailability)</t>
  </si>
  <si>
    <t>N4.09 Dysfonctionnement du réseau informatique (incluant l'indisponibilité)</t>
  </si>
  <si>
    <t>N4.09 Network malfunction (including unavailability)</t>
  </si>
  <si>
    <t>N3.04 Risque de continuité des activités</t>
  </si>
  <si>
    <t>N3.04 Business Continuity Risk</t>
  </si>
  <si>
    <t>N4.10 Gestion des perturbations</t>
  </si>
  <si>
    <t>N4.10 Disruption management</t>
  </si>
  <si>
    <t>N4.11 Identification des activités prioritaires et des dépendances</t>
  </si>
  <si>
    <t>N4.11 Identifying prioritized activities and dependencies</t>
  </si>
  <si>
    <t>N4.12 Atteinte des objectifs de continuité des activités</t>
  </si>
  <si>
    <t>N4.12 Achieve business continuity objectives</t>
  </si>
  <si>
    <t>N4.13 Perturbation des activités prioritaires</t>
  </si>
  <si>
    <t>N4.13 Disruption of prioritized activities</t>
  </si>
  <si>
    <t>N3.05 Risque lié à la sécurité physique</t>
  </si>
  <si>
    <t>N3.05 Physical security risk</t>
  </si>
  <si>
    <t>N4.14 Dommage aux biens : Immeubles, ordinateurs et autres biens</t>
  </si>
  <si>
    <t>N4.14 Property damage: Buildings, computers and other assets</t>
  </si>
  <si>
    <t>N4.15 Atteinte à la sécurité des personnes : Accident sur le lieu de travail, Vol ou violence sur le lieu de travail, etc.</t>
  </si>
  <si>
    <t>N4.15 Personal injury: Accident in the workplace, theft or violence in the workplace, etc.</t>
  </si>
  <si>
    <t>N2.02 Risque légal et réglementaire</t>
  </si>
  <si>
    <t>N2.02 Legal and Regulatory risk</t>
  </si>
  <si>
    <t>N3.06 Non-conformité liée à la protection des renseignements personnels</t>
  </si>
  <si>
    <t>N3.06 Privacy non-compliance</t>
  </si>
  <si>
    <t>N4.16 Traitement inadéquat des demandes ou plaintes des individus à l'égard de leurs renseignements personnels</t>
  </si>
  <si>
    <t>N4.16 Inadequate processing of requests or complaints from individuals regarding their personal information</t>
  </si>
  <si>
    <t>N4.17 Gouvernance en protection des renseignements personnels inadéquate</t>
  </si>
  <si>
    <t>N4.17 Inadequate privacy governance</t>
  </si>
  <si>
    <t>N4.18 Collecte, utilisation ou communication de renseignements personnels non  permises par l'individu ou la loi</t>
  </si>
  <si>
    <t>N4.18 Collection, use or disclosure not allowed of Personal Information</t>
  </si>
  <si>
    <t>N4.19 Collecte de renseignements personnels non nécessaires</t>
  </si>
  <si>
    <t>N4.19 Unnecessary collection of Personal Information</t>
  </si>
  <si>
    <t>N4.20 Communication non conforme de renseignements personnels</t>
  </si>
  <si>
    <t>N4.20 Non compliant disclosure of Personal Information</t>
  </si>
  <si>
    <t>N4.21 Conservation de renseignements personnels non permise</t>
  </si>
  <si>
    <t>N4.21 Retention not allowed of Personal Information</t>
  </si>
  <si>
    <t>N4.22 Insuffisance des mesures de sécurité assurant la protection des renseignements personnels</t>
  </si>
  <si>
    <t>N4.22 Insufficient security measures to ensure the protection of personal information</t>
  </si>
  <si>
    <t>ID_QA</t>
  </si>
  <si>
    <t>Location_FR</t>
  </si>
  <si>
    <t>Location_EN</t>
  </si>
  <si>
    <t>Description_FR</t>
  </si>
  <si>
    <t>Description_EN</t>
  </si>
  <si>
    <t>Document d'analyse de risque, onglet "Risques"</t>
  </si>
  <si>
    <t>Risk assessment document, "Risques" tab</t>
  </si>
  <si>
    <t>L'efficacité finale est documenté et prends compte les plans d'actions mitigant le risque</t>
  </si>
  <si>
    <t>The final effectiveness is documented and takes into account the action plans that mitigate the risk</t>
  </si>
  <si>
    <t>La justification de l'efficacité globale permet d'apprécié le niveau d'efficacité et utilise les critères d'évaluations</t>
  </si>
  <si>
    <t>The justification for overall effectiveness allows for an assessment of the level of effectiveness and uses the evaluation criteria</t>
  </si>
  <si>
    <t>Les controles applicables choisis peuvent mitiger les causes identifiées et sont applicable au scénario de risque</t>
  </si>
  <si>
    <t>The selected applicable controls can mitigate the identified causes and are relevant to the risk scenario</t>
  </si>
  <si>
    <t>La taxonomie est remplie et les causes, risque et impacts sont ajusté au contexte du risque et de l'analyse</t>
  </si>
  <si>
    <t>The taxonomy is completed, and the causes, risk, and impacts are adjusted to fit the context of the risk and the assessment</t>
  </si>
  <si>
    <t>La probabilité et l'impact inhérent de chaque risque fait abstraction des controles en place et le justificatif est suffisant pour bien comprendre l'enjeu</t>
  </si>
  <si>
    <t>The inherent probability and impact of each risk are assessed independently of existing controls, and the justification provided is sufficient to clearly understand the issue</t>
  </si>
  <si>
    <t>Tous les scénarios de risques TDSI de la LDD2 sont présents et documentés</t>
  </si>
  <si>
    <t>All TDSI risk scenarios from LDD2 are present and documented</t>
  </si>
  <si>
    <t>Document d'analyse de risque, onglet "Safeguards"</t>
  </si>
  <si>
    <t>Risk assessment document, "Safeguards" tab</t>
  </si>
  <si>
    <t>Le status de mise en place est documenté pour chacun des safeguards.</t>
  </si>
  <si>
    <t>The implementation status is documented for every safeguard.</t>
  </si>
  <si>
    <t>Un commentaire est présent pour chaque Safeguard et permet de justifier le statut de mise en place.</t>
  </si>
  <si>
    <t>A comment is added for every safeguard and justifies the implementation status.</t>
  </si>
  <si>
    <t>Document d'analyse de risque, onglet "Controls"</t>
  </si>
  <si>
    <t>Risk assessment document, "Controls" tab</t>
  </si>
  <si>
    <t>L'efficacité de chaque contrôle est révisée et documentée.</t>
  </si>
  <si>
    <t>The efficiency of each control is reviewed and documented.</t>
  </si>
  <si>
    <t>Une justification est présente pour chaque contrôle et permet de comprendre les raison du choix d'efficacité.</t>
  </si>
  <si>
    <t>A justification is added for each control and allow to undersatand the reasons of the control efficiency.</t>
  </si>
  <si>
    <t>La liste des causes impactés par le controle est présente et juste.</t>
  </si>
  <si>
    <t>The list of mitigated causes is documented and accurate.</t>
  </si>
  <si>
    <t>Document d'analyse de risque, onglet "Contexte et portée"</t>
  </si>
  <si>
    <t>Risk assessment document, "Contexte et portée" tab</t>
  </si>
  <si>
    <t>Tous les champs de chacune des sections de l'onglet "Contexte et portée" sont complétés.</t>
  </si>
  <si>
    <t>All fields of every section in the "Contexte et portée" tab are completed.</t>
  </si>
  <si>
    <t>Le champ "Contexte de la solution et raison d'évaluation" décrit clairement d'où provient la demande ainsi que les raisons de l'évaluation de sécurité.</t>
  </si>
  <si>
    <t>The field "Solution Context and evaluation reason" clearly describes where the request came from and the reasons for the security assessment.</t>
  </si>
  <si>
    <t>Les champs "Portées" décrivent clairement quels composants sont inclus dans l'analyse de risque.</t>
  </si>
  <si>
    <t>The "Scope" fields clearly describes which components are included in the risk assessment.</t>
  </si>
  <si>
    <t>Le champ "Objectifs affaires" décrit les besoins d'affaires répondues par la solution.</t>
  </si>
  <si>
    <t>The "Business Objectives" field describes business objectives addressed by the solution.</t>
  </si>
  <si>
    <t>Document d'analyse de risque, onglet "Plan d'action"</t>
  </si>
  <si>
    <t>Risk assessment document, "Plan d'action" tab</t>
  </si>
  <si>
    <t>Tous les risques au-dessus du seuil de tolérance ont au moins un plan d'action et le risque peut être mitigé à un niveau acceptable avec les plans d'actions documentés.</t>
  </si>
  <si>
    <t>All risks above tolerance level have at least one action plan and the risks can be mitigated to an acceptable level with the documented action plans.</t>
  </si>
  <si>
    <t>Le titre du plan d'action résume bien les actions à effectuer.</t>
  </si>
  <si>
    <t>The action plan title resume the actions to do.</t>
  </si>
  <si>
    <t>Les actions permettent de réduire les risques identifiés et les évidences sont suffisamment détaillées pour permettre de bien évaluer la mise en place du plan d'action.</t>
  </si>
  <si>
    <t>Actions allows to reduces the identified risks and evidences are detailed enough to evaluate the completion of the action plan.</t>
  </si>
  <si>
    <t>Les propriétaires sont définis et les dates de début et de fin planifiés ont été validés avec eux.</t>
  </si>
  <si>
    <t>Owner has been identified and start and end dates has been validated with them.</t>
  </si>
  <si>
    <t>Présentation PowerPoint, page titre</t>
  </si>
  <si>
    <t>PowerPoint presentation, title page</t>
  </si>
  <si>
    <t>Le nom du conseiller, du réviseur, du projet et la date doivent être à jour.</t>
  </si>
  <si>
    <t>The advisor name, the reviewer name, the project name and the presentation date are filled.</t>
  </si>
  <si>
    <t>Présentation PowerPoint, contexte et portée</t>
  </si>
  <si>
    <t>PowerPoint presentation, context and scope</t>
  </si>
  <si>
    <t>Le tableau de contexte a été ajouté et contient les informations à jour.</t>
  </si>
  <si>
    <t>The context table has been added and contains up to date informations.</t>
  </si>
  <si>
    <t>Présentation PowerPoint, sommaire des risques</t>
  </si>
  <si>
    <t>PowerPoint presentation, risk summary</t>
  </si>
  <si>
    <t>Le tableau des risques a été ajouté à la présentation, il contient tous les risques et les informations sont à jour.</t>
  </si>
  <si>
    <t>The risk summary table has been added to the presentation, it contains all the risks and the informations are up to date.</t>
  </si>
  <si>
    <t>Présentation PowerPoint, risques évalués</t>
  </si>
  <si>
    <t>PowerPoint Presentation, assessed risks</t>
  </si>
  <si>
    <t>Chaque risque évalué au-dessus du seuil de tolérance est ajouté dans la présentation PowerPoint et est à jour.</t>
  </si>
  <si>
    <t>All assessed risks above tolerance level are included in the PowerPoint presentation and are up to date.</t>
  </si>
  <si>
    <t>Présentation PowerPoint, sommaire des plans d'actions</t>
  </si>
  <si>
    <t>PowerPoint Presentation, action plan summary</t>
  </si>
  <si>
    <t>Le tableau des plans d'action est ajouté à la présentation PowerPoint et contient des informations à jour.</t>
  </si>
  <si>
    <t>The action plan table is added to the PowerPoint presentation and contains up-to-date information.</t>
  </si>
  <si>
    <t>Présentation PowerPoint, schéma de menace</t>
  </si>
  <si>
    <t>PowerPoint Presentation, threat model</t>
  </si>
  <si>
    <t>Le schéma de menace est présent dans la présentation et l'information est à jour.</t>
  </si>
  <si>
    <t>The threat model is added to the presentation and is up-to-date.</t>
  </si>
  <si>
    <t>Présentation PowerPoint, détail des risques</t>
  </si>
  <si>
    <t>PowerPoint presentation, risks details</t>
  </si>
  <si>
    <t>Le tableau de détail de tous les risques évalués est présent dans la présentation PowerPoint.</t>
  </si>
  <si>
    <t>A detailed risk table is added for each assessed risks is added in the PowerPoint presentation.</t>
  </si>
  <si>
    <t>Reference du contrôle NIST 800-53</t>
  </si>
  <si>
    <t>Description</t>
  </si>
  <si>
    <t>En place</t>
  </si>
  <si>
    <t>Commentaire</t>
  </si>
  <si>
    <t>SR-6 Supplier Assessments And Reviews</t>
  </si>
  <si>
    <t>Identifier, évaluer et communiquer les risques liés aux fournisseurs tiers. Ce contrôle est généralement mis en œuvre par le biais d’un processus de diligence raisonnable. Ce processus implique l’examen des pratiques des fournisseurs et l’évaluation de l’exposition aux risques.
Une due diligence a-t-elle été effectuée pour cet actif ?</t>
  </si>
  <si>
    <t>AT-2 Literacy Training And Awareness</t>
  </si>
  <si>
    <t>S’assurer que toutes les personnes qui accèdent à l’information se comportent avec prudence et diligence, en fonction de sa sensibilité. Cela passe par la mise en place de pratiques de formation et de sensibilisation et un suivi régulier des formations et des tests des collaborateurs.
Si les personnes qui accèdent à l’information hébergées par l’actif sont couvertes par le programme de formation et de sensibilisation de l’entreprise, la réponse devrait être OUI, sinon, est-ce que les personnes qui accèdent à l’information hébergées sur l’actif bénéficient régulièrement des pratiques de formation et de sensibilisation au SI ?</t>
  </si>
  <si>
    <t>AT-4 Training Records</t>
  </si>
  <si>
    <t>SI-4(4) System Monitoring | Inbound and Outbound Communication Traffic</t>
  </si>
  <si>
    <t>Détectez et bloquez les activités anormales provenant de l’extérieur de l’organisation. Cela peut se faire, par exemple, au moyen de contrôles fondés sur des systèmes qui analysent les communications à destination et en provenance de sources externes afin de détecter les activités illégitimes.
Si l’actif est couvert par le contrôle corporatif, la réponse devrait être OUI, sinon, les flux d’informations provenant de l’intérieur ou de l’extérieur de l’organisation sont-il analysés avant d’accéder à cet actif ?</t>
  </si>
  <si>
    <t>RA-3(3) Risk Assessment | Dynamic Threat Awareness</t>
  </si>
  <si>
    <t>Informer l’organisation des changements dans l'environnement des menaces de cybersécurité. Pour ce faire, l'organisation reçoit des informations sur les menaces de sources fiables, externalise les activités de surveillance à un tiers par exemple, et communique les informations pertinentes aux parties prenantes au sein de l’organisation. 
Si l’actif est couvert par le contrôle corporatif, la réponse devrait être OUI, sinon, l’organisation qui gère l’actif surveille-t-elle les cybermenaces applicables à son écosystème ?</t>
  </si>
  <si>
    <t>Couvert par le threat intel</t>
  </si>
  <si>
    <t>IR-8 Incident Response Plan</t>
  </si>
  <si>
    <t>L’organisation doit être en mesure de réagir, de contenir, se rétablir d'un incident et d’en tirer des leçons incluant les cyberincidents ayant une incidence sur ses actifs technologiques, y compris les incidents provenant de fournisseurs tiers. La première partie consiste à bien documenter un plan d’intervention en cas d’incident, puis (gestion d’incident) à mettre en œuvre les ressources nécessaires pour s’assurer que ce plan est actionnable (par exemple, les rôles et responsabilités au sein de l’équipe).
Si l’actif est couvert par des contrôles corporatifs, la réponse devrait être OUI, sinon, l’organisation qui gère l’actif dispose-t-elle d’un plan d’intervention en cas d’incident et des ressources nécessaires pour l’exécuter ?</t>
  </si>
  <si>
    <t>IR-4 Incident Handling</t>
  </si>
  <si>
    <t>RA-5 Vulnerability Monitoring And Scanning</t>
  </si>
  <si>
    <t>Veillez à ce que les vulnérabilités des actifs technologiques soient identifiées et communiquées. Cela permet de prendre des mesures opportunes en fonction des risques. Ce contrôle est un processus divisé en plusieurs phases : identification, évaluation, hiérarchisation des traitements et correction des vulnérabilités. Les responsabilités liées à ces activités peuvent être partagées entre plusieurs parties prenantes, telles que les équipes informatiques, les équipes de sécurité ou les unités commerciales.
Si l'actif est couvert par des contrôles corporatifs, la réponse doit être OUI pour RA-5. Si ce n'est pas le cas, l'organisation qui gère l'actif identifie-t-elle, communique-t-elle et atténue-t-elle les vulnérabilités de l'actif ?
Traduit avec DeepL.com (version gratuite)</t>
  </si>
  <si>
    <t>SI-2 Flaw Remediation</t>
  </si>
  <si>
    <t>PE-2 Physical Access Authorizations</t>
  </si>
  <si>
    <t>L'accès aux installations est réservé au personnel autorisé  et nécessite une identification et une authentification appropriées. La sécurité physique repose sur plusieurs types de contrôles, tels que des lecteurs de badges, des caméras, des gardes et des portes sécurisées. Certains de ces contrôles dépendent des configurations du système et des droits d'accès pour fonctionner correctement.
Si l'hébergement de l'actif relève de la responsabilité corporative, la réponse doit être OUI. Dans le cas contraire, l'organisation qui héberge l'actif dispose-t-elle de contrôles d'accès physiques et gère-t-elle les autorisations ?</t>
  </si>
  <si>
    <t>Nous n'avons pas cette information, voir due diligence</t>
  </si>
  <si>
    <t>PE-3 Physical Access Control</t>
  </si>
  <si>
    <t>AC-17 Remote Access</t>
  </si>
  <si>
    <t>Protégez l'accès à distance aux infrastructures non publiques afin d'empêcher tout accès non autorisé. Ce contrôle doit être conçu de manière à garantir la sécurité de l'accès fourni pour permettre l'intervention de personnel externe. Cela peut impliquer des technologies telles que les VPN ou une solution de virtualisation. Cependant, il doit toujours être soutenu par des processus tels que la gestion des accès afin de garantir que seuls les utilisateurs autorisés puissent se connecter.
Si la solution corporative pour l'accès distant couvre l'actif, la solution est-elle utilisée ?
Si l'actif n'entre pas dans le champ d'application de la solution d'entreprise, l'organisation qui possède l'actif dispose-t-elle d'un moyen sécurisé pour accéder à l'actif depuis l'extérieur de l'organisation ?</t>
  </si>
  <si>
    <t>SA-3 System Development Life Cycle</t>
  </si>
  <si>
    <t>Les logiciels doivent être conçus, développés, testés, mis en œuvre et maintenus en intégrant la sécurité de l'information à chaque étape de leur cycle de vie. Cela implique la mise en œuvre de directives et de stratégies pour un développement sécurisé, ainsi que la correction active des vulnérabilités identifiées dans le code tout au long de son cycle de vie.
SA-3 est lié au programme SDLC, donc la réponse est OUI pour l'ensemble de l'entreprise. 
Pour SA-11, le processus de développement comprend-il des activités IS adéquates tout au long de son cycle de vie ? Si oui, décrivez-les dans les commentaires.</t>
  </si>
  <si>
    <t>SA-11 Developer Testing And Evaluation</t>
  </si>
  <si>
    <t>IA-2 Identification et Authentification</t>
  </si>
  <si>
    <t>Des mécanismes (annuaire par exemple) sont mis en place pour identifier de manière unique les individus accédants aux informations de l'organisaton et des moyens assurent que l'usage de ces identifiant est fait par l'individus qui en est propriétaire.
Utilisez vous une methode centralisée pour la gestion des comptes utilisateurs pour l'accès au système, application, base de données?</t>
  </si>
  <si>
    <t>IA-2(1) Authentification multi facteurs pour les accès privilégiés</t>
  </si>
  <si>
    <t>Plusieurs facteurs doivent être utilisés pour authentifier les accès privilégiés.
Les accès privilégiés à l'actif évalué utilisent ils le MFA et si oui avec quels facteurs?</t>
  </si>
  <si>
    <t>IA-2(2) Authentification multi facteurs pour les accès non privilégiés</t>
  </si>
  <si>
    <t>Plusieurs facteurs doivent être utilisés pour authentifier les accès non privilégiés.
Les accès non privilégiés à l'actif évalué utilisent ils le MFA et avec quels facteurs?</t>
  </si>
  <si>
    <t>AC-2 Account Management</t>
  </si>
  <si>
    <t>Vérifiez l'identité d'un utilisateur avant de lui accorder l'accès aux ressources, généralement à l'aide de mécanismes tels que les identifiants utilisateur ou les processus d'authentification.
Pour les différents composants de l'actif pouvant donner accès à des informations sensibles, les accès sont-ils documentés et révisés régulièrement ?</t>
  </si>
  <si>
    <t>AC-5 Separation of duties</t>
  </si>
  <si>
    <t xml:space="preserve">Veillez à ce que les demandes d'accès soient validées et accordées conformément aux principes de séparation des tâches et de privilège minimal.
Limitez, consignez et justifiez l'utilisation de comptes à privilèges élevés (par exemple, accès administratif ou élevé) pour accéder aux informations.
Les tâches incompatibles sont-elles documentées et les profils utilisateur sont-ils configurés en fonction de ces tâches ?
L'utilisation des comptes à privilèges élevés est-elle gérée par des contrôles adéquats (par exemple, PAM) et la documentation relative à ces comptes est-elle partagée avec l'équipe qui gère le contrôle ? </t>
  </si>
  <si>
    <t>AC-6 Least Privilege</t>
  </si>
  <si>
    <t>SC-28 Protection Of Information At Rest</t>
  </si>
  <si>
    <t>Protéger la confidentialité et l'intégrité des informations au repos. Cela se fait généralement à l'aide de techniques de chiffrement.
Les informations sont-elles chiffrées en fonction de leur sensibilité ?</t>
  </si>
  <si>
    <t>SC-8 Transmission Confidentiality And Integrity</t>
  </si>
  <si>
    <t>Protéger la confidentialité et l'intégrité des informations en transit. Cela se fait généralement à l'aide de techniques de chiffrement.
Les informations sont-elles chiffrées en fonction de leur importance pendant leur transmission ?</t>
  </si>
  <si>
    <t>SI-3 Malicious Code Protection</t>
  </si>
  <si>
    <t>Détecter et bloquer en continu les activités anormales sur les terminaux (tels que les postes de travail ou les serveurs). Cela est lié à l'analyse antivirus qui peut avoir lieu à différents niveaux de l'infrastructure, en fonction du système ou de l'environnement à protéger.
Le contrôle anti-malware de l'organisation est-il déployé sur l'actif ? Si ce n'est pas le cas, une autre solution anti-malware est-elle déployée et gérée ?</t>
  </si>
  <si>
    <t>SC-7 Boundary Protection</t>
  </si>
  <si>
    <t>Protéger les réseaux, en fonction du niveau de risque, afin d'empêcher tout accès non autorisé. Cela se fait généralement à l'aide de technologies réseau, telles que des pare-feu, et peut inclure la segmentation du réseau ou des systèmes de prévention des intrusions.</t>
  </si>
  <si>
    <t>SI-4 System Monitoring</t>
  </si>
  <si>
    <t>Concevoir des pistes d'audit (c'est-à-dire des journaux d'activité du système) afin de détecter les incidents de cybersécurité, d'y répondre et de faciliter les enquêtes sur ces incidents.
Les incidents liés aux systèmes d'information sont-ils consignés et surveillés ?</t>
  </si>
  <si>
    <t>CP-9 System Backup</t>
  </si>
  <si>
    <t>Le système peut être restauré à partir de sauvegardes en cas de perte d'intégrité ou de disponibilité des informations, en fonction de l'importance du système pour les opérations.
La sauvegarde de l'actifs est-elle mise en œuvre selon une stratégie adaptée à son importance ?</t>
  </si>
  <si>
    <t>ID
ID</t>
  </si>
  <si>
    <t>Langue
Language</t>
  </si>
  <si>
    <t>Portée
Scope</t>
  </si>
  <si>
    <t>Élément de solution
Solution Element</t>
  </si>
  <si>
    <t>Recommandations - Tâches
Recommendations - Tasks</t>
  </si>
  <si>
    <t>Liste des évidences
List of evidences</t>
  </si>
  <si>
    <t>Facilitateur de l'implémentation
Implentation Enabler</t>
  </si>
  <si>
    <t>Statut de la mitigation
Mitigation status</t>
  </si>
  <si>
    <t>Notes
Notes</t>
  </si>
  <si>
    <t># de menace
Threat #</t>
  </si>
  <si>
    <t>ID de la norme
Standard ID</t>
  </si>
  <si>
    <t>General</t>
  </si>
  <si>
    <t>Perform an Asset Categorization</t>
  </si>
  <si>
    <t>STD-AM0017</t>
  </si>
  <si>
    <t>Général</t>
  </si>
  <si>
    <t>Effectuer une catégorisation de l'actif</t>
  </si>
  <si>
    <t>La catégorisation est saisie dans Hopex et approuvée par le propriétaire d'actif.</t>
  </si>
  <si>
    <t>Perform Data Classication (see the Data Governance Portal)</t>
  </si>
  <si>
    <t>STD-DS0001</t>
  </si>
  <si>
    <t>Effectuer la classification des données (voir le Portail de la Gouvernance des données)</t>
  </si>
  <si>
    <t>Incorporate the Change Management Process (Environment graduation[Dev, Accp, Prod, etc.], tests, &amp; approvals)</t>
  </si>
  <si>
    <t>STD-CM0016</t>
  </si>
  <si>
    <t>Intégrer le processus corporatif de gestion de changement (graduation par paliers, tests, approbations)</t>
  </si>
  <si>
    <t>Général - Chiffrement</t>
  </si>
  <si>
    <t>Appliquer le chiffrement en transit pour les communications (ex: TLS1.2 et utlérieur)</t>
  </si>
  <si>
    <t>STD-CR0010</t>
  </si>
  <si>
    <t>General - Encryption</t>
  </si>
  <si>
    <t>Apply encryption in transit for all communications (ex: TLS1.2 and better)</t>
  </si>
  <si>
    <t>Appliquer le chiffrement au repos des données confidentielles (ex: disque, données, TDE)</t>
  </si>
  <si>
    <t>STD-CR0007</t>
  </si>
  <si>
    <t>Apply encryption at rest for all confidential data (ex: disks, data, TDE for databases)</t>
  </si>
  <si>
    <t>General - Availability</t>
  </si>
  <si>
    <t>Apply a limit on requests (rate limiting)</t>
  </si>
  <si>
    <t>STD-NC0060</t>
  </si>
  <si>
    <t>Général - Disponibilité</t>
  </si>
  <si>
    <t>Appliquer une limite des requêtes (rate limiting)</t>
  </si>
  <si>
    <t>Document the solution availibility level in the service offering:
- SLO (Availibility = % and better)
- RTO
- RPO</t>
  </si>
  <si>
    <t>STD-DR0012</t>
  </si>
  <si>
    <t>Documenter le niveau de disponibilité de la solution dans son offre de service:
- SLO: (D# = #% et plus)
- RTO
- RPO</t>
  </si>
  <si>
    <t>Perform an Availability Monitoring on the solution and its technological components (Ex: Incorporate into Dynatrace)</t>
  </si>
  <si>
    <t>STD-OS0004</t>
  </si>
  <si>
    <t>Effectuer une surveillance de la disponibilité de la solution et de ses composantes technologiques (Ex: Intégration à Dynatrace)</t>
  </si>
  <si>
    <t>Document a technological Recovery Plan to respect the service levels and recovery metrics (SLA/SLO, RTO, RPO)</t>
  </si>
  <si>
    <t>Documenter un plan relève technologique visant à respecter les niveaux de services et métriques de reprise (SLA/SLO, RTO, RPO)</t>
  </si>
  <si>
    <t>Plan annual tests for the technological Recovery Plan.</t>
  </si>
  <si>
    <t>Owner or delegate</t>
  </si>
  <si>
    <t>STD-DR0018</t>
  </si>
  <si>
    <t>Planifier des tests annuels du plan de relève technologique</t>
  </si>
  <si>
    <t>Propriétaire ou mandataire</t>
  </si>
  <si>
    <t>Perform backups regularly for the solution's components.</t>
  </si>
  <si>
    <t>Multiple</t>
  </si>
  <si>
    <t>STD-BM0001</t>
  </si>
  <si>
    <t>Effectuer des sauvegardes régulières des composantes de la solution</t>
  </si>
  <si>
    <t>Keep a backup copy in a separate environment from the solution.</t>
  </si>
  <si>
    <t>STD-BM0005</t>
  </si>
  <si>
    <t>Conserver une copie de sauvegarde dans un environnement séparé de la solution</t>
  </si>
  <si>
    <t>Apply encryption at rest for backups.</t>
  </si>
  <si>
    <t>STD-BM0012</t>
  </si>
  <si>
    <t>Appliquer le chiffrement au repos des sauvegardes</t>
  </si>
  <si>
    <t>Perform restoration tests for backups in a manner to respect RTO/RPO objectives (possibility to include Recovery Plan tests)</t>
  </si>
  <si>
    <t>STD-BM0017</t>
  </si>
  <si>
    <t>Effectuer des tests de restauration de sauvegarde de manière à respecter les objectifs RTO/RPO (possibilité de l'inclure dans les tests du plan de relève)</t>
  </si>
  <si>
    <t>Perform load balancing tests to ensure required availability and performance of the solution.</t>
  </si>
  <si>
    <t>Effectuer des tests de charge pour assurer la disponibilité et la performance de la solution.</t>
  </si>
  <si>
    <t>Incorporate the corporative process for IT incidents. (Service Now)</t>
  </si>
  <si>
    <t>STD-MA0015</t>
  </si>
  <si>
    <t>Intégrer le processus corpratif d'incidents TI (ServiceNow)</t>
  </si>
  <si>
    <t>General - Data</t>
  </si>
  <si>
    <t>Avoid having confidential data in non-production environments (Lower levels such as DEV)</t>
  </si>
  <si>
    <t>STD-DS0012</t>
  </si>
  <si>
    <t>Général - Données</t>
  </si>
  <si>
    <t>Exclure les données confidentielles des environnements hors production (paliers inférieurs, ex: DEV)</t>
  </si>
  <si>
    <t>Validate that data localization is compliant with data owner's rules.</t>
  </si>
  <si>
    <t>STD-DS0003</t>
  </si>
  <si>
    <t>Valider que la localisation géographique des données respecte la conformité règlementaire du propriétaire des données (ex: Canada seulement).</t>
  </si>
  <si>
    <t>Establish a period of data retention and a data protection process conforming to the retention period.</t>
  </si>
  <si>
    <t>STD-DS0014</t>
  </si>
  <si>
    <t>Établir une période de rétention des données et un processus de destruction des données conforme à la période de rétention.</t>
  </si>
  <si>
    <t>General - Endpoint</t>
  </si>
  <si>
    <t>Hardening of solution components (server, appliance, containers, etc.). For example, to
- Uninstall unnecessary services
- Remove unnecessary applications and libraries
- Remove unnecessary access</t>
  </si>
  <si>
    <t>STD-ES0007</t>
  </si>
  <si>
    <t>Général - Endpoint</t>
  </si>
  <si>
    <t>Effectuer un durcissement (hardening) des composants de la solution (serveur, appliance, conteneurs, etc). Par exemple:
- Désinstaller les services non nécessaires
- Retirer les applications et librairies non nécessaires
- Retirer les accès non nécessaires
C.f. processus corporatif ou documentation fournisseur ou CIS: https://www.cisecurity.org/cis-benchmarks/</t>
  </si>
  <si>
    <t>Install the Corporate Antimalware tool</t>
  </si>
  <si>
    <t>Endpoint Security team</t>
  </si>
  <si>
    <t>Installed by default</t>
  </si>
  <si>
    <t>STD-ES0016</t>
  </si>
  <si>
    <t>Installer l'outil d'Antimalware corporatif</t>
  </si>
  <si>
    <t>Équipe Endpoint Security</t>
  </si>
  <si>
    <t>Installé par défaut</t>
  </si>
  <si>
    <t>Install the corporate HIDS/HIPS (EDR) tool</t>
  </si>
  <si>
    <t>STD-ES0015</t>
  </si>
  <si>
    <t>Installer l'outil HIDS/HIPS (EDR) corporatif</t>
  </si>
  <si>
    <t>Général - Fournisseurs</t>
  </si>
  <si>
    <t>Effectuer une diligence raisonnable des fournisseurs impliqués dans le projet</t>
  </si>
  <si>
    <t>STD-TP0005</t>
  </si>
  <si>
    <t>General - Provider</t>
  </si>
  <si>
    <t>Perform a due diligence on suppliers involved in the project</t>
  </si>
  <si>
    <t>Général - GIA</t>
  </si>
  <si>
    <t>Documenter une matrice des accès (utilisateurs, logiciels, personnel de support) conforme aux principes de séparation des tâches et du moindre privilège: - Inclure tous les types d'accès (utilisateurs, personnel de support, services) - Inclure les différents composants de la solution (serveurs, ressources infonuagiques, logiciels, API, stockage, BD, etc.)</t>
  </si>
  <si>
    <t>STD-IM0019</t>
  </si>
  <si>
    <t>General - IAM</t>
  </si>
  <si>
    <t>Document an access matrix (users, software, support staff) in line with the principles of separation of duties and least privilege: - Include all types of access (users, support staff, services) - Include all solution components (servers, cloud resources, software, APIs, storage, databases, etc.)</t>
  </si>
  <si>
    <t>Effectuer une révision periodique des accès:
- Reviser la matrice d'accès annuellement (il s'agit de valider si les accès désirés sont toujours nécessaires).
- Réviser les accès qui donnent des privilèges aux données sans passer par les fonctions d'usager standard (LZ) tous les 3 mois.</t>
  </si>
  <si>
    <t>STD-IM0029</t>
  </si>
  <si>
    <t>Carry out a periodic review of accesses:
- Review the access matrix annually (to validate whether the desired accesses are still required).
- Review accesses that give privileges to data without going through standard user functions (LZ) every 3 months.</t>
  </si>
  <si>
    <t>Utiliser l'authentification corporative (SSO/MFA, EntraID, Okta)</t>
  </si>
  <si>
    <t>STD-IM0038</t>
  </si>
  <si>
    <t>Use corporate authentication (SSO/MFA, EntraID, Okta)</t>
  </si>
  <si>
    <t>Intégrer le processus corporatif de demande d'accès</t>
  </si>
  <si>
    <t>STD-IM0021</t>
  </si>
  <si>
    <t>Integrate the corporate access request process</t>
  </si>
  <si>
    <t>Activer l'élévation de privilèges (LZ, PIM) pour toute activité d'administration (changement de configuration, maintenance, support)</t>
  </si>
  <si>
    <t>STD-IM0033</t>
  </si>
  <si>
    <t>Enable elevation of privileges (LZ, PIM) for all administration activities (configuration changes, maintenance, support)</t>
  </si>
  <si>
    <t>General - GIA/Secrets</t>
  </si>
  <si>
    <t>Keep secrets in a secure vault (e.g. KeyVault, Hashicorp, PAM)</t>
  </si>
  <si>
    <t>STD-SD0039</t>
  </si>
  <si>
    <t>Général - GIA/Secrets</t>
  </si>
  <si>
    <t>Conserver les secrets dans une voûte sécurisée (ex: KeyVault, Hashicorp, PAM)</t>
  </si>
  <si>
    <t>Include the vault of secrets' accesses in the solution's access matrix.</t>
  </si>
  <si>
    <t>STD-CR0033</t>
  </si>
  <si>
    <t>Inclure l'accès à la voûte de secrets dans la matrice des accès de la solution.</t>
  </si>
  <si>
    <t>Periodic rotation of secrets in accordance with corporate standards (Account Management Guide)</t>
  </si>
  <si>
    <t>STD-IM0051</t>
  </si>
  <si>
    <t>Effectuer une rotation périodique des secrets en fonction des normes corporatives (Guide de gestion des comptes)</t>
  </si>
  <si>
    <t>Apply corporate standards for secrets' length and complexity</t>
  </si>
  <si>
    <t>STD-IM0050</t>
  </si>
  <si>
    <t>Appliquer les normes corporatives en matière de longueur et complexité de secrets</t>
  </si>
  <si>
    <t>General - Network security</t>
  </si>
  <si>
    <t>Integrate the Web Application Firewall (WAF/WAAP: Akamai) to protect all exposed application components.</t>
  </si>
  <si>
    <t>Network team</t>
  </si>
  <si>
    <t>STD-AS0011</t>
  </si>
  <si>
    <t>Général - Sécurité réseau</t>
  </si>
  <si>
    <t>Intégrer le pare-feu applicatif Web (WAF/WAAP: Akamai) pour protéger toute composante applicative exposée.</t>
  </si>
  <si>
    <t>Équipe réseau</t>
  </si>
  <si>
    <t>Control communications so that only the necessary resources can connect (ACL, IP filtering).</t>
  </si>
  <si>
    <t>STD-NC0023</t>
  </si>
  <si>
    <t>Contrôler les communications afin que seules les ressources nécessaires puissent s'y connecter (ACL, IP filtering).</t>
  </si>
  <si>
    <t>Use a private endpoint to restrict public exposure (applies to Azure)</t>
  </si>
  <si>
    <t>STD-NC0009</t>
  </si>
  <si>
    <t>Utiliser un private endpoint poure restreindre l'exposition publique (s'applique à Azure)</t>
  </si>
  <si>
    <t>Integrate the DDoS protection service (Akamai) when there is Internet exposure.</t>
  </si>
  <si>
    <t>Intégrer le service de protection DDoS (Akamai) dans le cas d'une exposition sur Internet.</t>
  </si>
  <si>
    <t>General - Monitoring</t>
  </si>
  <si>
    <t>Apply security event logging (no sensitive data)</t>
  </si>
  <si>
    <t>STD-SM0009</t>
  </si>
  <si>
    <t>Général - Surveillance</t>
  </si>
  <si>
    <t>Appliquer la journalisation des événements de sécurité (aucune donnée sensible)</t>
  </si>
  <si>
    <t>Keep security logs active for 90 days and archived for 3 years</t>
  </si>
  <si>
    <t>STD-SM0036</t>
  </si>
  <si>
    <t>Conserver les journaux de sécurité actifs 90 jours et 3 ans archivés</t>
  </si>
  <si>
    <t>Protect security logs against unauthorized modification or destruction (e.g. read-only)</t>
  </si>
  <si>
    <t>STD-SM0020</t>
  </si>
  <si>
    <t>Protéger les journaux de sécurité contre toute modification ou destruction non-autorisée (ex: lecture seule)</t>
  </si>
  <si>
    <t>Monitor logs' availability</t>
  </si>
  <si>
    <t>STD-SM0024</t>
  </si>
  <si>
    <t>Surveiller la disponibilité des journaux</t>
  </si>
  <si>
    <t>Establish a list of critical monitoring use cases (detection rules)</t>
  </si>
  <si>
    <t>STD-SM0027</t>
  </si>
  <si>
    <t>Établir une liste des cas d'utilisation critiques de surveillance (règles de détection)</t>
  </si>
  <si>
    <t>Monitor critical use cases (e.g. Corporative SIEM Integration)</t>
  </si>
  <si>
    <t>STD-SM0035</t>
  </si>
  <si>
    <t>Effectuer une surveillance des cas d'utilisation critiques (ex: intégration au SIEM coporatif)</t>
  </si>
  <si>
    <t>Général - Vulnérabilité</t>
  </si>
  <si>
    <t>Documenter un plan de mise à jour pour l'ensemble des composants de la solution (OS, librairies, services, applications, mises à jour du fournisseur etc.)</t>
  </si>
  <si>
    <t>STD-AS0013</t>
  </si>
  <si>
    <t>General - Vulnerability</t>
  </si>
  <si>
    <t>Document an update plan for all solution components (OS, libraries, services, applications, vendor updates, etc.).</t>
  </si>
  <si>
    <t>Effectuer un scan de vulnérabilités avant toute mise en production (Clair, Nessus) pour le développement interne.
(Non applicable pour les composants logiciels d'un fournisseur/tiers)</t>
  </si>
  <si>
    <t>Demande de balayage des vulnérabilités</t>
  </si>
  <si>
    <t>STD-VM0017</t>
  </si>
  <si>
    <t>Perform pre-production vulnerability scans (Clair, Nessus) for in-house development.
(Not applicable for vendor/third-party software components)</t>
  </si>
  <si>
    <t>Vulnerability Scan Request</t>
  </si>
  <si>
    <t>Effectuer une demande de Test d'intrusion applicatifs (Pentest)</t>
  </si>
  <si>
    <t>STD-SD0063</t>
  </si>
  <si>
    <t>Make an Application Penetration Test request (Pentest).</t>
  </si>
  <si>
    <t>Intégrer les outils de tests de sécurité des applications statiques (SAST) et effectuer des tests périodiques.</t>
  </si>
  <si>
    <t>STD-SD0058</t>
  </si>
  <si>
    <t>Integrate Static Application Security Testing tools (SAST) and perform periodic tests.</t>
  </si>
  <si>
    <t>Intégrer les outils d'analyse de composition du code (SCA) et effectuer des tests périodiques.</t>
  </si>
  <si>
    <t>STD-SD0061</t>
  </si>
  <si>
    <t>Integrate Software Composition Analysis (SCA) tools and perform periodic tests.</t>
  </si>
  <si>
    <t>TI - Azure Cache for Redis</t>
  </si>
  <si>
    <t>Désactiver les ports non sécurisés (sans TLS)
@infonuagique : activer la politique suivante en mode "Deny".
Only secure connections to your Azure Cache for Redis should be enabled (https://portal.azure.com/#blade/Microsoft_Azure_Policy/PolicyDetailBlade/definitionId/%2Fproviders%2FMicrosoft.Authorization%2FpolicyDefinitions%2F22bee202-a82f-4305-9a2a-6d7f44d4dedb)</t>
  </si>
  <si>
    <t>STD-CR0012</t>
  </si>
  <si>
    <t>Disable unsecured ports (without TLS)
@infonuagique: activate the following policy in "Deny" mode.
Only secure connections to your Azure Cache for Redis should be enabled (https://portal.azure.com/#blade/Microsoft_Azure_Policy/PolicyDetailBlade/definitionId/%2Fproviders%2FMicrosoft.Authorization%2FpolicyDefinitions%2F22bee202-a82f-4305-9a2a-6d7f44d4dedb)</t>
  </si>
  <si>
    <t>Utiliser un private endpoint pour restreindre l'exposition publique (s'applique a AZURE)
@infonuagique : activer la politique suivante en mode "Deny".
Azure Cache for Redis should disable public network access (https://portal.azure.com/#blade/Microsoft_Azure_Policy/PolicyDetailBlade/definitionId/%2Fproviders%2FMicrosoft.Authorization%2FpolicyDefinitions%2F470baccb-7e51-4549-8b1a-3e5be069f663)</t>
  </si>
  <si>
    <t>Use a private endpoint to restrict public exposure (applies to AZURE)
@infonuagique: activate the following policy in "Deny" mode.
Azure Cache for Redis should disable public network access (https://portal.azure.com/#blade/Microsoft_Azure_Policy/PolicyDetailBlade/definitionId/%2Fproviders%2FMicrosoft.Authorization%2FpolicyDefinitions%2F470baccb-7e51-4549-8b1a-3e5be069f663)</t>
  </si>
  <si>
    <t>Inclure Azure Cache for Redis dans le plan de mise à jour et de maintenance de la solution.</t>
  </si>
  <si>
    <t>Include Azure Cache for Redis in the solution update and maintenance plan.</t>
  </si>
  <si>
    <t>Activer l'élévation de privilèges (LZ, PIM) pour toute activité d'administration (changement de configuration, maintenance, support) pour Azure Cache for Redis.</t>
  </si>
  <si>
    <t>Enable elevation of privileges (LZ, PIM) for all administration activities (configuration changes, maintenance, support) for Azure Cache for Redis.</t>
  </si>
  <si>
    <t>Inclure les accès Azure Cache for Redis à la matrice des accès de la solution.</t>
  </si>
  <si>
    <t>Include Azure Cache for Redis accesses in the solution's access matrix.</t>
  </si>
  <si>
    <t>Effectuer une rotation périodique des secrets (clés) en fonction des normes corporatives (Guide de gestion des comptes).</t>
  </si>
  <si>
    <t>STD-CR0032</t>
  </si>
  <si>
    <t>Periodically rotate secrets (keys) in accordance with corporate standards (Account Management Guide).</t>
  </si>
  <si>
    <t>Si applicable au contexte, mettre à jour la liste des cas d'utilisation critiques de surveillance de la solution: le service Azure Cache for Redis est accédé par un application ou utilisateur à l’extérieur du cluster autorisé.</t>
  </si>
  <si>
    <t>If applicable to the context, update the list of critical use cases for monitoring the solution: the Azure Cache for Redis service is accessed by an application or user outside the authorized cluster.</t>
  </si>
  <si>
    <t>Inclure Azure Cache for Redis dans le plan de relève et le tester de façon régulière.</t>
  </si>
  <si>
    <t>Include Azure Cache for Redis in the Recovery plan and test it regularly.</t>
  </si>
  <si>
    <t>Utiliser Redis de la façon qu’il a été positionné. C’est-à-dire que sa défaillance / disponibilité ne doit pas impacter la disponibilité de l’application.</t>
  </si>
  <si>
    <t>STD-DR0024</t>
  </si>
  <si>
    <t>Use Redis in the way it has been positioned. In other words, its failure/availability must not impact application availability.</t>
  </si>
  <si>
    <t>TI - Azure DevOps</t>
  </si>
  <si>
    <t>Conserver les secrets dans une voute sécurisée (ex: Key Vault, Hashicorp).
Contrôle compensatoire: Si ce n’est pas possible de mettre les mots de passe dans une voute, protéger les mots de passe en ajoutant des pipelines permissions et des "approvals and check" sur les groupes de variables dans Azure DevOps</t>
  </si>
  <si>
    <t>Keep secrets in a secure vault (e.g. Key Vault, Hashicorp).
Compensatory control: If it's not possible to put passwords in a vault, protect them by adding permissions pipelines and "approvals and check" on group variables in Azure DevOps.</t>
  </si>
  <si>
    <t>TI - Azure Files</t>
  </si>
  <si>
    <t>Désactiver l’accès public aux storage accounts.
@Infonuagique : Appliquer la politique "Public network access should be disabled for Azure File Sync"</t>
  </si>
  <si>
    <t>Disable public access to storage accounts.
@Infonuagique : Apply the policy "Public network access should be disabled for Azure File Sync".</t>
  </si>
  <si>
    <t>Utiliser un private endpoint pour restreindre l'exposition publique (s'applique a AZURE).
@infonuagique : Appliquer la politique suivante en mode "deny".
Configure Azure File Sync with private endpoints
https://portal.azure.com/#blade/Microsoft_Azure_Policy/PolicyDetailBlade/definitionId/%2Fproviders%2FMicrosoft.Authorization%2FpolicyDefinitions%2Fb35dddd9-daf7-423b-8375-5a5b86806d5a</t>
  </si>
  <si>
    <t>Use a private endpoint to restrict public exposure (applies to AZURE).
@infonuagique: Apply the following policy in "deny" mode.
Configure Azure File Sync with private endpoints
https://portal.azure.com/#blade/Microsoft_Azure_Policy/PolicyDetailBlade/definitionId/%2Fproviders%2FMicrosoft.Authorization%2FpolicyDefinitions%2Fb35dddd9-daf7-423b-8375-5a5b86806d5a</t>
  </si>
  <si>
    <t>Appliquer des règles de segmentation et d'isolation réseau (ex: NSG).</t>
  </si>
  <si>
    <t>STD-NC0045</t>
  </si>
  <si>
    <t>Apply network segmentation and isolation rules (e.g. NSG).</t>
  </si>
  <si>
    <t>Utiliser l'authentification corporative (SSO/MFA, EntraID) pour l'accès au Data plane.</t>
  </si>
  <si>
    <t>Use corporate authentication (SSO/MFA, EntraID) to access the data plane.</t>
  </si>
  <si>
    <t>Activer l'élévation de privilèges (PIM) pour toute activité d'administration (changement de configuration, maintenance, support)</t>
  </si>
  <si>
    <t>Enable elevation of privilege (EOP) for all administration activities (configuration changes, maintenance, support)</t>
  </si>
  <si>
    <t>Inclure les accèss de Azure Files à la matrice des accès de la solution</t>
  </si>
  <si>
    <t>Include Azure Files accesses in the solution's access matrix</t>
  </si>
  <si>
    <t>Appliquer le chiffrement en transit pour les communications (ex: TLS1.2 et utlérieur): - Utiliser SMBv3 pour bénéficier du chiffrement des communications</t>
  </si>
  <si>
    <t>STD-CR0001</t>
  </si>
  <si>
    <t>Use transit encryption for communications (e.g. TLS1.2 and above): - Use SMBv3 to benefit from communications encryption</t>
  </si>
  <si>
    <t>Appliquer le chiffrement au repos des données confidentielles (ex: disque, données)</t>
  </si>
  <si>
    <t>Apply encryption at rest to confidential data (e.g. disk, data)</t>
  </si>
  <si>
    <t>Effectuer des sauvegardes régulières de Azure Files</t>
  </si>
  <si>
    <t>Perform regular backups of Azure Files</t>
  </si>
  <si>
    <t>TI - Azure Key Vault</t>
  </si>
  <si>
    <t>Activer l'élévation de privilèges (PIM) pour toute activité d'administration d'Azure Key Vault (cela n'est pas appliqué par défaut)</t>
  </si>
  <si>
    <t>Enable elevation of privilege (EOP) for all Azure Key Vault administration activities (this is not applied by default)</t>
  </si>
  <si>
    <t>Inclure les accès Key Vault dans la matrice des accès de la solution.</t>
  </si>
  <si>
    <t>Include Key Vault accesses in the solution's access matrix.</t>
  </si>
  <si>
    <t>TI - Azure SQL Database</t>
  </si>
  <si>
    <t>Inclure les accès Azure SQL Database dans la matrice des accès de la solution: - Utiliser le privilège "db_owner" uniquement pour le déploiement de mises à jour des schémas et opération de gestion. - Utiliser le compte "ApplicationUser" avec des permissions plus limitées pour connecter l’application à la base de données avec le minimum de privilèges requis - Utiliser un groupe EntraID comme administrateur de votre serveur SQL afin de permettre aux membres de ce groupe d’effectuer les opérations de support et d’exploitation de la base de données</t>
  </si>
  <si>
    <t>Include Azure SQL Database access in the solution's access matrix: - Use the "db_owner" privilege only for deploying schema updates and management operations. - Use the "ApplicationUser" account with more limited permissions to connect the application to the database with the minimum privileges required. - Use an EntraID group as administrator of your SQL server to enable members of this group to perform database support and exploitation operations</t>
  </si>
  <si>
    <t>Utiliser l'authentification corporative (SSO/MFA: EntraID) pour tout accès humain à Azure SQL Database (bases de données et data plane).</t>
  </si>
  <si>
    <t>Use corporate authentication (SSO/MFA: EntraID) for all human access to Azure SQL Database (databases and data plane).</t>
  </si>
  <si>
    <t>Utiliser les identités gérées (Managed Identities) pour tout accès non-humain (services).
Contrôle compensatoire: utiliser les Service Principals pour tout accès non-humain (services).</t>
  </si>
  <si>
    <t>STD-IM0045</t>
  </si>
  <si>
    <t>Use Managed Identities for all non-human access (services).
Compensatory control: use Service Principals for all non-human access (services).</t>
  </si>
  <si>
    <t>Assigner une adresse IP privée à la ressource Azure SQL Database si jamais la ressource n’est pas destinée à être accédée depuis un réseau public (ex. Internet)</t>
  </si>
  <si>
    <t>Assign a private IP address to the Azure SQL Database resource if it is not to be accessed from a public network (e.g. the Internet).</t>
  </si>
  <si>
    <t>Appliquer le chiffrement en transit pour les communications (TLS1.2 et ultérieur).</t>
  </si>
  <si>
    <t>Apply encryption in transit for communications (TLS1.2 or better).</t>
  </si>
  <si>
    <t>Inclure Azure SQL Database dans la stratégie de sauvegarde et les tests de restauration.</t>
  </si>
  <si>
    <t>Include Azure SQL Database in backup strategy and recovery tests.</t>
  </si>
  <si>
    <t>Appliquer le processus de destruction des données conformément à la période de rétention de la solution.</t>
  </si>
  <si>
    <t>Apply the data destruction process in line with the solution's retention period.</t>
  </si>
  <si>
    <t>Étiqueter le serveur et la base de données SQL avec l'information de la catégorisation de l'actif (cote DIC).</t>
  </si>
  <si>
    <t>Tag the server and SQL database with categorization information of the asset (CIA rating).</t>
  </si>
  <si>
    <t>Applique le chiffrement au repos des données confidentielles (TDE - Transparent Data Encryption).</t>
  </si>
  <si>
    <t>Apply encryption at rest for confidential data (Transparent Data Encryption - TDE)</t>
  </si>
  <si>
    <t>Définir explicitement les paramètres suivants dans la chaîne de connexion: Encrypt=True et TrustServerCertificate=False.</t>
  </si>
  <si>
    <t>STD-CO0005</t>
  </si>
  <si>
    <t>Explicitly define the following parameters in the connection string: Encrypt=True and TrustServerCertificate=False.</t>
  </si>
  <si>
    <t>Appliquer la journalisation des événements de sécurité (audit) lorsque la cote d'intégrité (I) et/ou confidentialité (C) a une valeur supérieure à 2.</t>
  </si>
  <si>
    <t>Apply security event logging (audit) when the integrity (I) and/or confidentiality (C) rating is greater than 2.</t>
  </si>
  <si>
    <t>Effectuer une surveillance des cas d'utilisation critiques (ex: intégration au SIEM coporatif) en centralisant les journaux dans le dépôt journaux de sécurité (iagti0p01-cac-ws-security-01).</t>
  </si>
  <si>
    <t>Appliqué par défaut (CoE Infonuagique)</t>
  </si>
  <si>
    <t>STD-ES0020</t>
  </si>
  <si>
    <t>Monitor critical use cases (e.g. Corporative SIEM integration) by centralizing logs in the security log repository (iagti0p01-cac-ws-security-01).</t>
  </si>
  <si>
    <t>Applied by default (Cloud Team)</t>
  </si>
  <si>
    <t>Utiliser un private endpoint pour restreindre l'exposition publique (s'applique a AZURE)</t>
  </si>
  <si>
    <t>Activer les fonctionnalités de protection contre les menaces (Advanced Threat Protection)</t>
  </si>
  <si>
    <t>Coe Infonuagique</t>
  </si>
  <si>
    <t>Activate Advanced Threat Protection features.</t>
  </si>
  <si>
    <t>CoE Cloud Platforms</t>
  </si>
  <si>
    <t>Inclure Azure SQL Database dans le plan de relève technologique et les tests annuels.</t>
  </si>
  <si>
    <t>STD-DR0016</t>
  </si>
  <si>
    <t>Include Azure SQL Database in the technology Recovery plan and annual tests.</t>
  </si>
  <si>
    <t>TI - Azure VM</t>
  </si>
  <si>
    <t>Inclure Azure VM dans le plan de mise à jour de la solution.</t>
  </si>
  <si>
    <t>Include Azure VM in the solution update plan.</t>
  </si>
  <si>
    <t>Utiliser l'authentification corporative (SSO/MFA, EntraID).</t>
  </si>
  <si>
    <t>Use corporate authentication (SSO/MFA, EntraID).</t>
  </si>
  <si>
    <t>Installer l'outil HIDS/HIPS corporatif (EDR: Crowdstrike)</t>
  </si>
  <si>
    <t>Équipe infra</t>
  </si>
  <si>
    <t>Install corporate HIDS/HIPS tool (EDR: Crowdstrike)</t>
  </si>
  <si>
    <t>Infrastructure Team</t>
  </si>
  <si>
    <t>Installer l'outil d'Antimalware corporatif (Defender)</t>
  </si>
  <si>
    <t>Install the Corporate Antimalware tool (Defender)</t>
  </si>
  <si>
    <t>Effectuer une surveillance de la disponibilité de Azure VM (Ex: Intégration à Dynatrace)</t>
  </si>
  <si>
    <t>Monitor Azure VM availability (e.g. Dynatrace integration)</t>
  </si>
  <si>
    <t>Inclure les accès Azure VM dans la matrice des accès de la solution.</t>
  </si>
  <si>
    <t>Include Azure VM accesses in the solution's access matrix.</t>
  </si>
  <si>
    <t>TI - DFS</t>
  </si>
  <si>
    <t>Appliquer le chiffrement des données (chiffrement applicatif) confidentielles avant leur dépôt dans le DFS.</t>
  </si>
  <si>
    <t>STD-CP0004</t>
  </si>
  <si>
    <t>Apply confidential data encryption (application encryption) before depositing it in the DFS.</t>
  </si>
  <si>
    <t>Appliquer la journalisation des événements de sécurité (aucune donnée sensible).
Note: La journalisation ne peut être appliquée sur les DFS. Une situation a risque a été déclarée et le risque est accepté.</t>
  </si>
  <si>
    <t>Risque corporatif accepté.</t>
  </si>
  <si>
    <t>Apply security event logging (no sensitive data).
Note: Logging cannot be applied to DFS. A risk situation has been declared and the risk is accepted.</t>
  </si>
  <si>
    <t>Corporate risk accepted.</t>
  </si>
  <si>
    <t>TI - Kafka</t>
  </si>
  <si>
    <t>Utiliser l'authentification par certificats.</t>
  </si>
  <si>
    <t>CoE Integration</t>
  </si>
  <si>
    <t>Par défaut</t>
  </si>
  <si>
    <t>STD-CR0049</t>
  </si>
  <si>
    <t>Use certificate authentication.</t>
  </si>
  <si>
    <t>Implemented by default</t>
  </si>
  <si>
    <t>Inclure les accès Kafka dans la matrice des accès de la solution.</t>
  </si>
  <si>
    <t>Include Kafka accesses in the solution's access matrix.</t>
  </si>
  <si>
    <t>Établir un processus de destruction des données conforme à la période de rétention (par défaut: 1 mois dans les topics Kafka).</t>
  </si>
  <si>
    <t>Establish a data destruction process in line with the retention period (by default: 1 month in the Kafka topics).</t>
  </si>
  <si>
    <t>TI - Kafka / AKHQ</t>
  </si>
  <si>
    <t>Inclure les accès Kafka dans la matrice des accès de la solution: - Réduire au minimum le nombre d'utilisateurs ayant accès à AKHQ en production (PIM/LZ)</t>
  </si>
  <si>
    <t>Include Kafka accesses in the solution's access matrix: - Minimize the number of users with access to AKHQ in production (PIM/LZ)</t>
  </si>
  <si>
    <t>TI - Kafka / Event Connector</t>
  </si>
  <si>
    <t>Inclure l'Event Connector au plan de mise à jour de la solution: - Mettre à jour régulièrement la version de l’event connector fournie par le CoE-Intégration</t>
  </si>
  <si>
    <t>Include the Event Connector in the solution update plan: - Regularly update the version of the event connector provided by CoE-Integration</t>
  </si>
  <si>
    <t>TI - Container platform / Kubernetes</t>
  </si>
  <si>
    <t>K8s Platform Team</t>
  </si>
  <si>
    <t>TI - Plateforme conteneur / Kubernetes</t>
  </si>
  <si>
    <t>Équipe Plateforme K8s</t>
  </si>
  <si>
    <t>Include Containers in the solution update plan: - Update, build and deploy the container image periodically</t>
  </si>
  <si>
    <t>STD-SD0050</t>
  </si>
  <si>
    <t>Inclure les Conteneurs au plan de mise à jour de la solution: - Mettre à jour, builder et déployer l’image de conteneur de façon périodique</t>
  </si>
  <si>
    <t>Use encryption in transit for communications (e.g. TLS1.2 and better) - Use Istio to encrypt communications with MTLS in Strict mode</t>
  </si>
  <si>
    <t>Appliquer le chiffrement en transit pour les communications (ex: TLS1.2 et utlérieur) - Utiliser Istio pour le chiffrement des communications avec MTLS en mode Strict</t>
  </si>
  <si>
    <t>Apply network segmentation and isolation rules: - Use Istio for network segmentation of each service within the cluster</t>
  </si>
  <si>
    <t>Appliquer des règles de segmentation et d'isolation réseau: - Utiliser Istio pour la segmentation réseau de chaque service à l'intérieur du cluster</t>
  </si>
  <si>
    <t>TI - Scriptflow</t>
  </si>
  <si>
    <t>Inclure les accès Scriptflow à la matrice des accès de la solution.</t>
  </si>
  <si>
    <t>Include Scriptflow accesses in the solution's access matrix.</t>
  </si>
  <si>
    <t>Appliquer la journalisation des événements de sécurité.</t>
  </si>
  <si>
    <t>Apply security event logging.</t>
  </si>
  <si>
    <t>Inclure les Conteneurs au plan de mise à jour de la solution: - Effectuer la mise à jour du pod de façon régulière</t>
  </si>
  <si>
    <t>Include Containers in the solution update plan: - Update the pod on a regular basis</t>
  </si>
  <si>
    <t>IT - Web Service</t>
  </si>
  <si>
    <t>Use corporate authentication (SSO/MFA, EntraID, Okta): - External users authenticate with CIAM (Okta Identity Engine) by MFA.</t>
  </si>
  <si>
    <t>STD-IM0001</t>
  </si>
  <si>
    <t>TI - Service Web</t>
  </si>
  <si>
    <t>Utiliser l'authentification corporative (SSO/MFA, EntraID, Okta): - Les utilisateurs externes s'authentifient avec le CIAM (Okta Identity Engine) par MFA.</t>
  </si>
  <si>
    <t>The solution must validate the user's access/authentication tokens. JWT token values to be validated: - iss - exp - aud - signature</t>
  </si>
  <si>
    <t>La solution doit valider les jetons d'accès/authentification de l'utilisateur. Les valeurs du jeton JWT à valider: - iss - exp - aud - signature</t>
  </si>
  <si>
    <t>Apply filtering to block the downloading of potentially malicious files (Allow-Listing on File Extensions). - OWASP - File Upload Cheat Sheet</t>
  </si>
  <si>
    <t>STD-ES0019</t>
  </si>
  <si>
    <t>Appliquer un filtrage pour bloquer le téléchargement de fichiers potentiellement malicieux (Allow-Listing sur les Extensions de fichiers). - OWASP - File Upload Cheat Sheet</t>
  </si>
  <si>
    <t>IT - Cross-functional solution (Governance)</t>
  </si>
  <si>
    <t>Document a service offering for the cross-functional solution, including: - Conditions of use (authorized use cases, limitations, etc.) - Security roles and responsibilities (e.g. which controls are handled by the service and which are the responsibility of the customer or consumer of the service). - SLO/SLA</t>
  </si>
  <si>
    <t>STD-NC0001</t>
  </si>
  <si>
    <t>TI - Solution transverse (Gouvernance)</t>
  </si>
  <si>
    <t>Documenter une offre de service pour la solution transverse, incluant: - Conditions d'utilisation (use cases autorisés, limitations, etc.) - Rôles et responsabilités en matière de sécurité (ex: contrôles pris en charge par le service et ceux qui relèvent du client ou consommateur du service) - SLO/SLA</t>
  </si>
  <si>
    <t>Général - Formation et Sensibilisation</t>
  </si>
  <si>
    <t>Établir un programme de formation continue à la sécurité pour tous les employés, incluant des sessions lors de l'intégration, des mises à jour régulières, et des formations après tout changement des systèmes ou des politiques.</t>
  </si>
  <si>
    <t>Ce contrôle est en place au niveau de l'Entreprise</t>
  </si>
  <si>
    <t>STD-AT0012</t>
  </si>
  <si>
    <t>Général - Training and Awareness</t>
  </si>
  <si>
    <t>Establish an ongoing security training program for all employees, including sessions during onboarding, regular updates, and training following any changes to systems or policies.</t>
  </si>
  <si>
    <t>This control is in place at the Company level</t>
  </si>
  <si>
    <t>Surveiller et documenter les activités de formation en sécurité de l'information, incluant les formations générales et spécifiques</t>
  </si>
  <si>
    <t>STD-AT0014</t>
  </si>
  <si>
    <t>Monitor and document information security training activities, including general and specific training sessions.</t>
  </si>
  <si>
    <t>Physical Security</t>
  </si>
  <si>
    <t>Ensure that logging is available at required physical access point in order to log relevant security events for digital investigation.</t>
  </si>
  <si>
    <t>STD-FA0018</t>
  </si>
  <si>
    <t>Sécurité Physique</t>
  </si>
  <si>
    <t>S'assurer que la journalisation soit disponible au point d'accès physique pour journaliser les événements de sécurité pertinents pour l'investigation numérique.</t>
  </si>
  <si>
    <t>Limit physical access to ports, devices and telecommunication network wires.</t>
  </si>
  <si>
    <t>STD-NC0018</t>
  </si>
  <si>
    <t>Limiter les accès physiques aux ports, dispositifs et lignes de télécommunication du réseau.</t>
  </si>
  <si>
    <t>Maintain a registrer detailling authorized facility access by individuals.</t>
  </si>
  <si>
    <t>STD-PE0008</t>
  </si>
  <si>
    <t>Élaborer et tenir un registre détaillant l'accès autorisé aux installations par personnes.</t>
  </si>
  <si>
    <t>Issue an ID card or other authorization credentials for physical access.</t>
  </si>
  <si>
    <t>STD-PE0009</t>
  </si>
  <si>
    <t>Délivrer une carte d'identité ou autres identifiants d'accès pour l'accès physique.</t>
  </si>
  <si>
    <t>Revoke access and remove individuals from the registrer as soon as access is no longer required.</t>
  </si>
  <si>
    <t>STD-PE0010</t>
  </si>
  <si>
    <t>Révoquer l'accès et retirer les personnes du registre d'autorisation dès que l'accès n'est plus nécessaire.</t>
  </si>
  <si>
    <t>Review all access at least annually.</t>
  </si>
  <si>
    <t>STD-PE0011</t>
  </si>
  <si>
    <t>Réviser les accès au moins annuellement.</t>
  </si>
  <si>
    <t>Validate all physical entries and exit points of all information system facilities.</t>
  </si>
  <si>
    <t>STD-PE0014</t>
  </si>
  <si>
    <t>Valider tous les points d'entrées et sorties physiques des installations du systèmes d'information.</t>
  </si>
  <si>
    <t>Ensure that entry and exit of information systems and components storing sensitive data are recorded and approved</t>
  </si>
  <si>
    <t>STD-PE0015</t>
  </si>
  <si>
    <t>S'assurer que l'entrée et la sortie des systèmes et composantes stockant des données sensibles sont enregistrées et approuvées.</t>
  </si>
  <si>
    <t>Ensure that sufficient physical protections are in placed corresponding to its AIC categorization.</t>
  </si>
  <si>
    <t>STD-PE0016</t>
  </si>
  <si>
    <t>Veiller à ce que des protections physiques suffisantes soient mises en place conformément à sa catégorisation DIC.</t>
  </si>
  <si>
    <t>Secure transmission lines within the facilities against damage, disruption, tampering and eavesdropping.</t>
  </si>
  <si>
    <t>STD-PE0019</t>
  </si>
  <si>
    <t>Sécuriser les lignes de transmissions à l'intérieur des installations contre les dommages, pertubations, altérations et l'écoute électronique des transmissions.</t>
  </si>
  <si>
    <t>Protect physical access keys from compromise and duplication.</t>
  </si>
  <si>
    <t>STD-PE0020</t>
  </si>
  <si>
    <t>Protéger les clés d'accès physiques contre la compromission et la duplication.</t>
  </si>
  <si>
    <t>Change physical access keys when compromised or lost.</t>
  </si>
  <si>
    <t>STD-PE0021</t>
  </si>
  <si>
    <t>Changer les clés d'accès physiques lorsqu'ils sont perdus.</t>
  </si>
  <si>
    <t>Retain logs of visitors for non-public areas</t>
  </si>
  <si>
    <t>STD-PE0023</t>
  </si>
  <si>
    <t>Tenir à jour les journaux des visiteurs aux endroits non-publiques.</t>
  </si>
  <si>
    <t>Individuals with insufficient security clearance are required to be escorted by individuals with appropriate credentials in area with sensitive information stored.</t>
  </si>
  <si>
    <t>STD-PE0024</t>
  </si>
  <si>
    <t>Individus avec une attetation de sécurité insuffisante doit être escortées par des individus avec les qualifications appropriés aux endroits avec des données sensibles stockées.</t>
  </si>
  <si>
    <t>Disallow pictures, video recordings and audio recordings.</t>
  </si>
  <si>
    <t>STD-PE0025</t>
  </si>
  <si>
    <t>Interdire les photos, les enregistrement de vidéos et audios.</t>
  </si>
  <si>
    <t>Review visitor logs weekly.</t>
  </si>
  <si>
    <t>STD-PE0026</t>
  </si>
  <si>
    <t>Réviser les journaux de visiteurs à chaque semaine.</t>
  </si>
  <si>
    <t>Ensure the perimeters of facilities are physically sound (i.e. no gap and solid construction).</t>
  </si>
  <si>
    <t>STD-PE0027</t>
  </si>
  <si>
    <t>S'assurer que les périmètres des installations physiques sont physiquement sains (i.e. pas de gap, construction solide)</t>
  </si>
  <si>
    <t>Doors and windows are locked when unattended.</t>
  </si>
  <si>
    <t>STD-PE0028</t>
  </si>
  <si>
    <t>S'assurer que les portes et les fenêtres sont verrouillées lorsqu'elles ne sont pas surveillées.</t>
  </si>
  <si>
    <t>Monitor critical access points with cameras. Keep the recordings for at least 30 days.</t>
  </si>
  <si>
    <t>STD-PE0029</t>
  </si>
  <si>
    <t>Surveiller les points d'accès critiques avec des caméras. Garder les enregistrements au moins 30 jours.</t>
  </si>
  <si>
    <t>Ensure that facilities prevent confidential activities being visible and audible from the outside.</t>
  </si>
  <si>
    <t>STD-PE0030</t>
  </si>
  <si>
    <t>S'assurer que les installations empêchent les activités confidentielles d'être visibles et audibles de l'extérieur.</t>
  </si>
  <si>
    <t>Review physical access logs periodically.</t>
  </si>
  <si>
    <t>STD-PE0034</t>
  </si>
  <si>
    <t>Examiner les journaux physiques périodiquement.</t>
  </si>
  <si>
    <t>Consider implementing tamper detection tools and tamper prevention tools on hardware components.</t>
  </si>
  <si>
    <t>STD-PE0035</t>
  </si>
  <si>
    <t>Considérer la mise en place des outils de détection de sabotage ou des outils de prévention de sabotage sur certains composants matériaux.</t>
  </si>
  <si>
    <t>Protect against unauthorized physical connections by setting up physical controls such as cable trays, connections frames, etc.</t>
  </si>
  <si>
    <t>STD-PE0041</t>
  </si>
  <si>
    <t>Protéger contre les connexions physiques non-autorisés avec des contrôles physiques comme des chemins de cables, des cadres de connexions, etc.</t>
  </si>
  <si>
    <t>Définir et mettre en œuvre une stratégie DLP couvrant les scénarios et canaux d’exfiltration.
Voir si la solution de DLP couvre votre solution</t>
  </si>
  <si>
    <t>Le partenaire n'est pas en mesure d'implémenter ce contrôle, qui relève de la responsabilité de la corporation.</t>
  </si>
  <si>
    <t>STD-DS0008</t>
  </si>
  <si>
    <t>Define and implement a DLP strategy covering exfiltration scenarios and channels.
See if the DLP solution covers your solution</t>
  </si>
  <si>
    <t>Date</t>
  </si>
  <si>
    <t>Responsable</t>
  </si>
  <si>
    <t>Modifications</t>
  </si>
  <si>
    <t>Christine Doré</t>
  </si>
  <si>
    <t>Christine Doré
Julien Gagnon</t>
  </si>
  <si>
    <t>1.1</t>
  </si>
  <si>
    <t>Prendre note que le document a été renommé afin de retirer le numéro de version.  Un nouvel onglet a été ajouté à la fin afin de conserver l’historique du gabarit
Liste des changements : 
•	Correction de problèmes avec les couleurs et les bordures des cellules (dans les ENF, les requis, les risques).
•	Remplissage automatique de la colonne scénario de risque dans l'onglet des requis quand le numéro de menace est ajouté.
•	Remplissage automatique de la colonne norme dans l'onglet des requis quand le contrôle est ajouté.
•	Remplissage automatique de la colonne niveau de risque dans l’onglet des risques quand la probabilité et l’impact sont ajoutés.
•	Modification des notes sur ces colonnes (scénario de risque, norme et niveau de risque) pour indiquer qu'elles sont remplies automatiquement.</t>
  </si>
  <si>
    <t>Kevin Fortier</t>
  </si>
  <si>
    <t>Ajout du numéro de la norme dans l'onglet "requis"
Ajout automatique de la priorité du requis en fonction du niveau de risque
Retrait du verrouillage des sur les différents onglets</t>
  </si>
  <si>
    <t>Mohamad Al Tellami</t>
  </si>
  <si>
    <t>V05-2023</t>
  </si>
  <si>
    <t>New risk evaluation Grid from 4x4 to 5x5.</t>
  </si>
  <si>
    <t>James Ngo</t>
  </si>
  <si>
    <t>Corriger "Significant" à "Important dans l'onglet "DONNÉES".</t>
  </si>
  <si>
    <t>Marc-Andre Besner et James Ngo</t>
  </si>
  <si>
    <t>v06-2023</t>
  </si>
  <si>
    <t xml:space="preserve">• Updade de la section "cadre normatif" pour les versions 2023.
• ajoute du nom de l'asset dans la section "Contexte et Portée".
• Les formules de la colonne "Numéro" de la  section "Requis" ont été corrigé.
</t>
  </si>
  <si>
    <t>Christine Doré
William Bouffard
Marc-André Besner
James Ngo</t>
  </si>
  <si>
    <t>v06-2024</t>
  </si>
  <si>
    <t>*Mise à jour des NFR v2.5 à v2.7 -  OK
* Onglet "Risques" :  Renomme colonnes des risques, Ajoute nouvelles colonnes : "Portée",  "Plan d'action",  "Tolérance" "risques après plan d'action", Taxonomie - OK
* Onglet "Requis" : Renomme colonne "Scénario de risque" à "Scénario de menace",  Ajoute colonne "Portée", Renomme "Risque Résiduel" par "Suivi des recommendations" OK
* Onglet "ppt" : Nouvel onglet ajouté
*Onglet "Data Taxonomie" Ajouté
*Onglet "Ref Taxonomie" Ajouté
* Onglet "Ref Général" Ajouté
* Tous les onglets : Corriger le format des dates à AAAA-mm-jj
*** Mettre plus de bilinguisme afin de faciliter réutilisation et efforts de mise à jour des templates.
•Removed extra columns and cleared cells from Context and Scope, NFRs, Risk, Requirements and Security Framework v1.1 tabs.
•Resized Risks and Requirements to 50 and 100 rows.
•Added selections to nfrs columns of the compliance selections columns.
•Added multiple Cause selections in the RISKS tab.
•Removed Column A empty in the Requirements tab.</t>
  </si>
  <si>
    <t>Ajout de l'efficacité des controles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</si>
</sst>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yyyy\-mm\-dd;@"/>
  </numFmts>
  <fonts count="45">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2"/>
      <color theme="1"/>
      <name val="Calibri"/>
      <family val="2"/>
      <scheme val="minor"/>
    </font>
    <font>
      <sz val="11"/>
      <color rgb="FF000000"/>
      <name val="Calibri"/>
      <family val="2"/>
      <scheme val="minor"/>
    </font>
    <font>
      <sz val="8"/>
      <name val="Calibri"/>
      <family val="2"/>
      <scheme val="minor"/>
    </font>
    <font>
      <b/>
      <sz val="12"/>
      <color theme="0"/>
      <name val="Calibri"/>
      <family val="2"/>
      <scheme val="minor"/>
    </font>
    <font>
      <u/>
      <sz val="11"/>
      <color theme="10"/>
      <name val="Calibri"/>
      <family val="2"/>
      <scheme val="minor"/>
    </font>
    <font>
      <sz val="11"/>
      <color rgb="FF000000"/>
      <name val="Calibri"/>
      <family val="2"/>
    </font>
    <font>
      <sz val="10"/>
      <color rgb="FF000000"/>
      <name val="Calibri"/>
      <family val="2"/>
      <scheme val="minor"/>
    </font>
    <font>
      <b/>
      <sz val="12"/>
      <color theme="1"/>
      <name val="Calibri"/>
      <family val="2"/>
      <scheme val="minor"/>
    </font>
    <font>
      <sz val="18"/>
      <color rgb="FF000000"/>
      <name val="Calibri"/>
      <family val="2"/>
      <scheme val="minor"/>
    </font>
    <font>
      <b/>
      <sz val="18"/>
      <color theme="1"/>
      <name val="Calibri"/>
      <family val="2"/>
      <scheme val="minor"/>
    </font>
    <font>
      <sz val="8"/>
      <color theme="1"/>
      <name val="Aptos Narrow"/>
      <family val="2"/>
    </font>
    <font>
      <b/>
      <sz val="8"/>
      <color theme="3"/>
      <name val="Aptos Narrow"/>
      <family val="2"/>
    </font>
    <font>
      <sz val="8"/>
      <color theme="1"/>
      <name val="Calibri"/>
      <family val="2"/>
      <scheme val="minor"/>
    </font>
    <font>
      <b/>
      <i/>
      <sz val="11"/>
      <color rgb="FF064DD9"/>
      <name val="Calibri"/>
      <family val="2"/>
      <scheme val="minor"/>
    </font>
    <font>
      <b/>
      <i/>
      <sz val="16"/>
      <color rgb="FF064DD9"/>
      <name val="Calibri"/>
      <family val="2"/>
      <scheme val="minor"/>
    </font>
    <font>
      <b/>
      <i/>
      <sz val="12"/>
      <color rgb="FF064DD9"/>
      <name val="Calibri"/>
      <family val="2"/>
      <scheme val="minor"/>
    </font>
    <font>
      <sz val="8"/>
      <color rgb="FF000000"/>
      <name val="Calibri"/>
      <family val="2"/>
      <scheme val="minor"/>
    </font>
    <font>
      <strike/>
      <sz val="11"/>
      <color theme="1"/>
      <name val="Calibri"/>
      <family val="2"/>
      <scheme val="minor"/>
    </font>
    <font>
      <b/>
      <sz val="12"/>
      <color rgb="FF064DD9"/>
      <name val="DM Sans"/>
    </font>
    <font>
      <sz val="11"/>
      <color theme="1"/>
      <name val="DM Sans"/>
    </font>
    <font>
      <b/>
      <sz val="18"/>
      <color theme="0"/>
      <name val="DM Sans"/>
    </font>
    <font>
      <sz val="18"/>
      <color theme="0"/>
      <name val="DM Sans"/>
    </font>
    <font>
      <b/>
      <sz val="12"/>
      <color theme="0"/>
      <name val="DM Sans"/>
    </font>
    <font>
      <sz val="11"/>
      <color rgb="FF064DD9"/>
      <name val="DM Sans"/>
    </font>
    <font>
      <b/>
      <sz val="14"/>
      <color theme="0"/>
      <name val="DM Sans"/>
    </font>
    <font>
      <sz val="11"/>
      <color rgb="FF01233F"/>
      <name val="DM Sans"/>
    </font>
    <font>
      <b/>
      <sz val="11"/>
      <color rgb="FF01233F"/>
      <name val="DM Sans"/>
    </font>
    <font>
      <sz val="11"/>
      <color rgb="FFFF0000"/>
      <name val="Calibri"/>
      <family val="2"/>
      <scheme val="minor"/>
    </font>
    <font>
      <sz val="11"/>
      <name val="Calibri"/>
      <family val="2"/>
      <scheme val="minor"/>
    </font>
    <font>
      <sz val="9"/>
      <color rgb="FF4A4A4A"/>
      <name val="Arial"/>
      <family val="2"/>
    </font>
    <font>
      <b/>
      <sz val="9"/>
      <color rgb="FFC0392B"/>
      <name val="Arial"/>
      <family val="2"/>
    </font>
    <font>
      <b/>
      <sz val="9"/>
      <color rgb="FFE67E22"/>
      <name val="Arial"/>
      <family val="2"/>
    </font>
    <font>
      <b/>
      <sz val="9"/>
      <color rgb="FFB7770D"/>
      <name val="Arial"/>
      <family val="2"/>
    </font>
    <font>
      <b/>
      <sz val="9"/>
      <color rgb="FF27AE60"/>
      <name val="Arial"/>
      <family val="2"/>
    </font>
    <font>
      <b/>
      <sz val="10"/>
      <color rgb="FFC0392B"/>
      <name val="Arial"/>
      <family val="2"/>
    </font>
    <font>
      <b/>
      <sz val="10"/>
      <color rgb="FF1B3A6B"/>
      <name val="Arial"/>
      <family val="2"/>
    </font>
    <font>
      <b/>
      <sz val="10"/>
      <color rgb="FFE67E22"/>
      <name val="Arial"/>
      <family val="2"/>
    </font>
    <font>
      <b/>
      <sz val="10"/>
      <color rgb="FFB7770D"/>
      <name val="Arial"/>
      <family val="2"/>
    </font>
    <font>
      <b/>
      <sz val="10"/>
      <color rgb="FF2E5FAC"/>
      <name val="Arial"/>
      <family val="2"/>
    </font>
    <font>
      <sz val="9"/>
      <color rgb="FF4A4A4A"/>
      <name val="Arial"/>
    </font>
    <font>
      <sz val="9"/>
      <color rgb="FF0F6E56"/>
      <name val="Arial"/>
    </font>
  </fonts>
  <fills count="33">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E0E3E9"/>
        <bgColor indexed="64"/>
      </patternFill>
    </fill>
    <fill>
      <patternFill patternType="solid">
        <fgColor rgb="FF318500"/>
        <bgColor indexed="64"/>
      </patternFill>
    </fill>
    <fill>
      <patternFill patternType="solid">
        <fgColor rgb="FF7030A0"/>
        <bgColor indexed="64"/>
      </patternFill>
    </fill>
    <fill>
      <patternFill patternType="solid">
        <fgColor rgb="FF00B0F0"/>
        <bgColor indexed="64"/>
      </patternFill>
    </fill>
    <fill>
      <patternFill patternType="solid">
        <fgColor rgb="FFFFFF00"/>
        <bgColor rgb="FF000000"/>
      </patternFill>
    </fill>
    <fill>
      <patternFill patternType="solid">
        <fgColor rgb="FF003DA5"/>
        <bgColor theme="4"/>
      </patternFill>
    </fill>
    <fill>
      <patternFill patternType="solid">
        <fgColor rgb="FFCAE5FB"/>
        <bgColor rgb="FFCAE5FB"/>
      </patternFill>
    </fill>
    <fill>
      <patternFill patternType="solid">
        <fgColor theme="9" tint="0.79998168889431442"/>
        <bgColor theme="4"/>
      </patternFill>
    </fill>
    <fill>
      <patternFill patternType="solid">
        <fgColor rgb="FF01233F"/>
        <bgColor indexed="64"/>
      </patternFill>
    </fill>
    <fill>
      <patternFill patternType="solid">
        <fgColor rgb="FF73C4EF"/>
        <bgColor indexed="64"/>
      </patternFill>
    </fill>
    <fill>
      <patternFill patternType="solid">
        <fgColor rgb="FFDBF0FF"/>
        <bgColor indexed="64"/>
      </patternFill>
    </fill>
    <fill>
      <patternFill patternType="solid">
        <fgColor rgb="FF064DD9"/>
        <bgColor indexed="64"/>
      </patternFill>
    </fill>
    <fill>
      <patternFill patternType="solid">
        <fgColor rgb="FF756B5F"/>
        <bgColor indexed="64"/>
      </patternFill>
    </fill>
    <fill>
      <patternFill patternType="solid">
        <fgColor rgb="FFFF0000"/>
        <bgColor rgb="FF000000"/>
      </patternFill>
    </fill>
    <fill>
      <patternFill patternType="solid">
        <fgColor rgb="FFFFC000"/>
        <bgColor rgb="FF000000"/>
      </patternFill>
    </fill>
    <fill>
      <patternFill patternType="solid">
        <fgColor rgb="FFFEF9C3"/>
        <bgColor rgb="FF000000"/>
      </patternFill>
    </fill>
    <fill>
      <patternFill patternType="solid">
        <fgColor rgb="FFD5F0E0"/>
        <bgColor rgb="FF000000"/>
      </patternFill>
    </fill>
    <fill>
      <patternFill patternType="solid">
        <fgColor rgb="FF92D050"/>
        <bgColor rgb="FF000000"/>
      </patternFill>
    </fill>
    <fill>
      <patternFill patternType="solid">
        <fgColor rgb="FFFADBD8"/>
        <bgColor rgb="FF000000"/>
      </patternFill>
    </fill>
    <fill>
      <patternFill patternType="solid">
        <fgColor rgb="FFFFFF00"/>
        <bgColor rgb="FF808080"/>
      </patternFill>
    </fill>
    <fill>
      <patternFill patternType="solid">
        <fgColor rgb="FFFFFFFF"/>
        <bgColor rgb="FF000000"/>
      </patternFill>
    </fill>
    <fill>
      <patternFill patternType="solid">
        <fgColor rgb="FFEBF3FB"/>
        <bgColor rgb="FF000000"/>
      </patternFill>
    </fill>
    <fill>
      <patternFill patternType="solid">
        <fgColor rgb="FFFDEBD0"/>
        <bgColor rgb="FF000000"/>
      </patternFill>
    </fill>
    <fill>
      <patternFill patternType="solid">
        <fgColor rgb="FFD6E4F7"/>
        <bgColor rgb="FF000000"/>
      </patternFill>
    </fill>
  </fills>
  <borders count="3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medium">
        <color auto="1"/>
      </right>
      <top style="medium">
        <color auto="1"/>
      </top>
      <bottom style="medium">
        <color auto="1"/>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rgb="FFB3D9F9"/>
      </left>
      <right style="thin">
        <color rgb="FFB3D9F9"/>
      </right>
      <top style="thin">
        <color rgb="FFB3D9F9"/>
      </top>
      <bottom style="thin">
        <color rgb="FFB3D9F9"/>
      </bottom>
      <diagonal/>
    </border>
    <border>
      <left/>
      <right style="thin">
        <color rgb="FFB3D9F9"/>
      </right>
      <top style="thin">
        <color rgb="FFB3D9F9"/>
      </top>
      <bottom style="thin">
        <color rgb="FFB3D9F9"/>
      </bottom>
      <diagonal/>
    </border>
    <border>
      <left style="thin">
        <color rgb="FFB3D9F9"/>
      </left>
      <right/>
      <top/>
      <bottom style="thin">
        <color rgb="FFB3D9F9"/>
      </bottom>
      <diagonal/>
    </border>
    <border>
      <left/>
      <right/>
      <top/>
      <bottom style="thin">
        <color rgb="FFB3D9F9"/>
      </bottom>
      <diagonal/>
    </border>
    <border>
      <left/>
      <right style="thin">
        <color rgb="FFB3D9F9"/>
      </right>
      <top/>
      <bottom style="thin">
        <color rgb="FFB3D9F9"/>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rgb="FF064DD9"/>
      </top>
      <bottom style="thin">
        <color rgb="FF064DD9"/>
      </bottom>
      <diagonal/>
    </border>
    <border>
      <left/>
      <right/>
      <top/>
      <bottom style="thin">
        <color rgb="FF064DD9"/>
      </bottom>
      <diagonal/>
    </border>
    <border>
      <left/>
      <right/>
      <top style="thin">
        <color rgb="FF064DD9"/>
      </top>
      <bottom/>
      <diagonal/>
    </border>
    <border>
      <left/>
      <right style="thin">
        <color rgb="FF064DD9"/>
      </right>
      <top/>
      <bottom style="thin">
        <color rgb="FF064DD9"/>
      </bottom>
      <diagonal/>
    </border>
    <border>
      <left style="thin">
        <color rgb="FF064DD9"/>
      </left>
      <right/>
      <top/>
      <bottom style="thin">
        <color rgb="FF064DD9"/>
      </bottom>
      <diagonal/>
    </border>
    <border>
      <left/>
      <right style="thin">
        <color rgb="FF064DD9"/>
      </right>
      <top style="thin">
        <color rgb="FF064DD9"/>
      </top>
      <bottom style="thin">
        <color rgb="FF064DD9"/>
      </bottom>
      <diagonal/>
    </border>
    <border>
      <left style="thin">
        <color rgb="FF064DD9"/>
      </left>
      <right style="thin">
        <color rgb="FF064DD9"/>
      </right>
      <top style="thin">
        <color rgb="FF064DD9"/>
      </top>
      <bottom style="thin">
        <color rgb="FF064DD9"/>
      </bottom>
      <diagonal/>
    </border>
    <border>
      <left style="thin">
        <color rgb="FF064DD9"/>
      </left>
      <right/>
      <top style="thin">
        <color rgb="FF064DD9"/>
      </top>
      <bottom style="thin">
        <color rgb="FF064DD9"/>
      </bottom>
      <diagonal/>
    </border>
    <border>
      <left/>
      <right style="thin">
        <color rgb="FF064DD9"/>
      </right>
      <top style="thin">
        <color rgb="FF064DD9"/>
      </top>
      <bottom/>
      <diagonal/>
    </border>
    <border>
      <left style="thin">
        <color rgb="FF064DD9"/>
      </left>
      <right style="thin">
        <color rgb="FF064DD9"/>
      </right>
      <top style="thin">
        <color rgb="FF064DD9"/>
      </top>
      <bottom/>
      <diagonal/>
    </border>
    <border>
      <left style="thin">
        <color rgb="FF064DD9"/>
      </left>
      <right/>
      <top style="thin">
        <color rgb="FF064DD9"/>
      </top>
      <bottom/>
      <diagonal/>
    </border>
    <border>
      <left style="thin">
        <color rgb="FFBDC3C7"/>
      </left>
      <right style="thin">
        <color rgb="FFBDC3C7"/>
      </right>
      <top style="thin">
        <color rgb="FFBDC3C7"/>
      </top>
      <bottom style="thin">
        <color rgb="FFBDC3C7"/>
      </bottom>
      <diagonal/>
    </border>
    <border>
      <left/>
      <right style="thin">
        <color rgb="FFBDC3C7"/>
      </right>
      <top style="thin">
        <color rgb="FFBDC3C7"/>
      </top>
      <bottom style="thin">
        <color rgb="FFBDC3C7"/>
      </bottom>
      <diagonal/>
    </border>
    <border>
      <left style="thin">
        <color rgb="FFBDC3C7"/>
      </left>
      <right style="thin">
        <color rgb="FFBDC3C7"/>
      </right>
      <top/>
      <bottom style="thin">
        <color rgb="FFBDC3C7"/>
      </bottom>
      <diagonal/>
    </border>
    <border>
      <left/>
      <right style="thin">
        <color rgb="FFBDC3C7"/>
      </right>
      <top/>
      <bottom style="thin">
        <color rgb="FFBDC3C7"/>
      </bottom>
      <diagonal/>
    </border>
  </borders>
  <cellStyleXfs count="4">
    <xf numFmtId="0" fontId="0" fillId="0" borderId="0"/>
    <xf numFmtId="0" fontId="4" fillId="0" borderId="0"/>
    <xf numFmtId="0" fontId="1" fillId="0" borderId="0"/>
    <xf numFmtId="0" fontId="8" fillId="0" borderId="0" applyNumberFormat="0" applyFill="0" applyBorder="0" applyAlignment="0" applyProtection="0"/>
  </cellStyleXfs>
  <cellXfs count="236">
    <xf numFmtId="0" fontId="0" fillId="0" borderId="0" xfId="0"/>
    <xf numFmtId="0" fontId="0" fillId="0" borderId="0" xfId="0" applyAlignment="1">
      <alignment vertical="center"/>
    </xf>
    <xf numFmtId="0" fontId="0" fillId="4" borderId="0" xfId="0" applyFill="1"/>
    <xf numFmtId="0" fontId="0" fillId="0" borderId="6" xfId="0" applyBorder="1"/>
    <xf numFmtId="0" fontId="0" fillId="0" borderId="3" xfId="0" applyBorder="1"/>
    <xf numFmtId="0" fontId="0" fillId="0" borderId="5" xfId="0" applyBorder="1"/>
    <xf numFmtId="0" fontId="0" fillId="0" borderId="2" xfId="0" applyBorder="1"/>
    <xf numFmtId="0" fontId="3" fillId="0" borderId="1" xfId="0" applyFont="1" applyBorder="1" applyAlignment="1">
      <alignment horizontal="center" wrapText="1"/>
    </xf>
    <xf numFmtId="0" fontId="0" fillId="0" borderId="0" xfId="0" applyAlignment="1">
      <alignment wrapText="1"/>
    </xf>
    <xf numFmtId="0" fontId="0" fillId="0" borderId="0" xfId="0" applyAlignment="1">
      <alignment horizontal="left" vertical="center"/>
    </xf>
    <xf numFmtId="0" fontId="0" fillId="0" borderId="0" xfId="0" applyAlignment="1">
      <alignment vertical="center" wrapText="1"/>
    </xf>
    <xf numFmtId="0" fontId="0" fillId="5" borderId="1" xfId="0" applyFill="1" applyBorder="1" applyAlignment="1">
      <alignment horizontal="center" vertical="center"/>
    </xf>
    <xf numFmtId="0" fontId="0" fillId="8" borderId="0" xfId="0" applyFill="1" applyAlignment="1">
      <alignment horizontal="left" vertical="center"/>
    </xf>
    <xf numFmtId="0" fontId="0" fillId="5" borderId="0" xfId="0" applyFill="1" applyAlignment="1">
      <alignment horizontal="left" vertical="center"/>
    </xf>
    <xf numFmtId="0" fontId="0" fillId="7" borderId="0" xfId="0" applyFill="1" applyAlignment="1">
      <alignment horizontal="left" vertical="center"/>
    </xf>
    <xf numFmtId="0" fontId="0" fillId="7" borderId="0" xfId="0" applyFill="1" applyAlignment="1">
      <alignment vertical="center" wrapText="1"/>
    </xf>
    <xf numFmtId="0" fontId="0" fillId="6" borderId="0" xfId="0" applyFill="1" applyAlignment="1">
      <alignment horizontal="left" vertical="center"/>
    </xf>
    <xf numFmtId="0" fontId="0" fillId="6" borderId="0" xfId="0" applyFill="1" applyAlignment="1">
      <alignment vertical="center" wrapText="1"/>
    </xf>
    <xf numFmtId="0" fontId="3" fillId="8" borderId="1" xfId="0" applyFont="1" applyFill="1" applyBorder="1" applyAlignment="1">
      <alignment horizontal="center"/>
    </xf>
    <xf numFmtId="0" fontId="3" fillId="5" borderId="1" xfId="0" applyFont="1" applyFill="1" applyBorder="1" applyAlignment="1">
      <alignment horizontal="center"/>
    </xf>
    <xf numFmtId="0" fontId="3" fillId="7" borderId="1" xfId="0" applyFont="1" applyFill="1" applyBorder="1" applyAlignment="1">
      <alignment horizontal="center"/>
    </xf>
    <xf numFmtId="0" fontId="3" fillId="6" borderId="1" xfId="0" applyFont="1" applyFill="1" applyBorder="1" applyAlignment="1">
      <alignment horizontal="center"/>
    </xf>
    <xf numFmtId="0" fontId="3" fillId="0" borderId="7" xfId="0" applyFont="1" applyBorder="1" applyAlignment="1">
      <alignment horizontal="center" wrapText="1"/>
    </xf>
    <xf numFmtId="0" fontId="3" fillId="8" borderId="1" xfId="0" applyFont="1" applyFill="1" applyBorder="1" applyAlignment="1">
      <alignment horizontal="left"/>
    </xf>
    <xf numFmtId="0" fontId="3" fillId="5" borderId="1" xfId="0" applyFont="1" applyFill="1" applyBorder="1" applyAlignment="1">
      <alignment horizontal="left"/>
    </xf>
    <xf numFmtId="0" fontId="3" fillId="7" borderId="1" xfId="0" applyFont="1" applyFill="1" applyBorder="1" applyAlignment="1">
      <alignment horizontal="left"/>
    </xf>
    <xf numFmtId="0" fontId="3" fillId="6" borderId="8" xfId="0" applyFont="1" applyFill="1" applyBorder="1" applyAlignment="1">
      <alignment horizontal="left"/>
    </xf>
    <xf numFmtId="0" fontId="0" fillId="7" borderId="1" xfId="0" applyFill="1" applyBorder="1" applyAlignment="1">
      <alignment horizontal="center"/>
    </xf>
    <xf numFmtId="0" fontId="0" fillId="6" borderId="1" xfId="0" applyFill="1" applyBorder="1" applyAlignment="1">
      <alignment horizontal="center"/>
    </xf>
    <xf numFmtId="0" fontId="3" fillId="6" borderId="7" xfId="0" applyFont="1" applyFill="1" applyBorder="1" applyAlignment="1">
      <alignment horizontal="center"/>
    </xf>
    <xf numFmtId="0" fontId="0" fillId="5" borderId="1" xfId="0" applyFill="1" applyBorder="1" applyAlignment="1">
      <alignment horizontal="center"/>
    </xf>
    <xf numFmtId="0" fontId="3" fillId="7" borderId="7" xfId="0" applyFont="1" applyFill="1" applyBorder="1" applyAlignment="1">
      <alignment horizontal="center"/>
    </xf>
    <xf numFmtId="0" fontId="0" fillId="8" borderId="1" xfId="0" applyFill="1" applyBorder="1" applyAlignment="1">
      <alignment horizontal="center" vertical="center"/>
    </xf>
    <xf numFmtId="0" fontId="3" fillId="5" borderId="7" xfId="0" applyFont="1" applyFill="1" applyBorder="1" applyAlignment="1">
      <alignment horizontal="center"/>
    </xf>
    <xf numFmtId="0" fontId="0" fillId="8" borderId="1" xfId="0" applyFill="1" applyBorder="1" applyAlignment="1">
      <alignment horizontal="center"/>
    </xf>
    <xf numFmtId="0" fontId="3" fillId="8" borderId="7" xfId="0" applyFont="1" applyFill="1" applyBorder="1" applyAlignment="1">
      <alignment horizontal="center"/>
    </xf>
    <xf numFmtId="0" fontId="0" fillId="4" borderId="0" xfId="0" applyFill="1" applyAlignment="1" applyProtection="1">
      <alignment vertical="center"/>
      <protection locked="0"/>
    </xf>
    <xf numFmtId="0" fontId="0" fillId="0" borderId="0" xfId="0" applyAlignment="1" applyProtection="1">
      <alignment wrapText="1"/>
      <protection locked="0"/>
    </xf>
    <xf numFmtId="0" fontId="0" fillId="0" borderId="0" xfId="0" applyAlignment="1" applyProtection="1">
      <alignment vertical="center" wrapText="1"/>
      <protection locked="0"/>
    </xf>
    <xf numFmtId="0" fontId="0" fillId="0" borderId="0" xfId="0" applyAlignment="1" applyProtection="1">
      <alignment horizontal="left" vertical="center" wrapText="1"/>
      <protection locked="0"/>
    </xf>
    <xf numFmtId="0" fontId="0" fillId="0" borderId="0" xfId="0" applyAlignment="1" applyProtection="1">
      <alignment horizontal="left" vertical="top" wrapText="1"/>
      <protection locked="0"/>
    </xf>
    <xf numFmtId="0" fontId="0" fillId="0" borderId="0" xfId="0" applyAlignment="1" applyProtection="1">
      <alignment horizontal="center" vertical="center"/>
      <protection locked="0"/>
    </xf>
    <xf numFmtId="0" fontId="5" fillId="0" borderId="0" xfId="0" applyFont="1" applyAlignment="1" applyProtection="1">
      <alignment wrapText="1"/>
      <protection locked="0"/>
    </xf>
    <xf numFmtId="0" fontId="5" fillId="0" borderId="0" xfId="0" applyFont="1" applyAlignment="1" applyProtection="1">
      <alignment horizontal="left" vertical="center" wrapText="1"/>
      <protection locked="0"/>
    </xf>
    <xf numFmtId="0" fontId="5" fillId="0" borderId="0" xfId="0" applyFont="1"/>
    <xf numFmtId="0" fontId="12" fillId="0" borderId="0" xfId="0" applyFont="1"/>
    <xf numFmtId="0" fontId="0" fillId="0" borderId="0" xfId="0" applyAlignment="1">
      <alignment vertical="top" wrapText="1"/>
    </xf>
    <xf numFmtId="0" fontId="3" fillId="0" borderId="0" xfId="0" applyFont="1" applyAlignment="1">
      <alignment wrapText="1"/>
    </xf>
    <xf numFmtId="0" fontId="9" fillId="0" borderId="0" xfId="0" applyFont="1"/>
    <xf numFmtId="0" fontId="0" fillId="0" borderId="0" xfId="0" applyAlignment="1" applyProtection="1">
      <alignment horizontal="right" vertical="center" wrapText="1"/>
      <protection locked="0"/>
    </xf>
    <xf numFmtId="0" fontId="0" fillId="4" borderId="0" xfId="0" applyFill="1" applyAlignment="1">
      <alignment horizontal="left" vertical="center"/>
    </xf>
    <xf numFmtId="0" fontId="0" fillId="0" borderId="0" xfId="0" applyProtection="1">
      <protection locked="0"/>
    </xf>
    <xf numFmtId="0" fontId="0" fillId="0" borderId="0" xfId="0" applyAlignment="1" applyProtection="1">
      <alignment horizontal="right" vertical="top" wrapText="1"/>
      <protection locked="0"/>
    </xf>
    <xf numFmtId="164" fontId="0" fillId="0" borderId="1" xfId="0" applyNumberFormat="1" applyBorder="1" applyAlignment="1" applyProtection="1">
      <alignment horizontal="center" vertical="center" wrapText="1"/>
      <protection locked="0"/>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left" vertical="center" wrapText="1"/>
      <protection locked="0"/>
    </xf>
    <xf numFmtId="0" fontId="0" fillId="4" borderId="0" xfId="0" applyFill="1" applyAlignment="1">
      <alignment vertical="top" wrapText="1"/>
    </xf>
    <xf numFmtId="14" fontId="11" fillId="9" borderId="4" xfId="0" applyNumberFormat="1" applyFont="1" applyFill="1" applyBorder="1" applyAlignment="1">
      <alignment horizontal="center" vertical="center"/>
    </xf>
    <xf numFmtId="0" fontId="4" fillId="4" borderId="0" xfId="0" applyFont="1" applyFill="1"/>
    <xf numFmtId="0" fontId="0" fillId="0" borderId="0" xfId="0" applyAlignment="1">
      <alignment horizontal="center" vertical="center"/>
    </xf>
    <xf numFmtId="0" fontId="2" fillId="0" borderId="0" xfId="0" applyFont="1" applyAlignment="1">
      <alignment horizontal="left" wrapText="1"/>
    </xf>
    <xf numFmtId="0" fontId="0" fillId="10" borderId="0" xfId="0" applyFill="1" applyAlignment="1">
      <alignment wrapText="1"/>
    </xf>
    <xf numFmtId="0" fontId="0" fillId="12" borderId="0" xfId="0" applyFill="1" applyAlignment="1">
      <alignment wrapText="1"/>
    </xf>
    <xf numFmtId="0" fontId="0" fillId="0" borderId="0" xfId="0" applyAlignment="1">
      <alignment horizontal="left" vertical="center" wrapText="1"/>
    </xf>
    <xf numFmtId="0" fontId="0" fillId="8" borderId="7" xfId="0" applyFill="1" applyBorder="1" applyAlignment="1">
      <alignment horizontal="center"/>
    </xf>
    <xf numFmtId="0" fontId="9" fillId="13" borderId="10" xfId="0" applyFont="1" applyFill="1" applyBorder="1"/>
    <xf numFmtId="0" fontId="9" fillId="5" borderId="10" xfId="0" applyFont="1" applyFill="1" applyBorder="1"/>
    <xf numFmtId="0" fontId="0" fillId="0" borderId="0" xfId="0" applyAlignment="1">
      <alignment horizontal="left"/>
    </xf>
    <xf numFmtId="0" fontId="2" fillId="14" borderId="12" xfId="0" applyFont="1" applyFill="1" applyBorder="1" applyAlignment="1">
      <alignment wrapText="1"/>
    </xf>
    <xf numFmtId="0" fontId="2" fillId="14" borderId="13" xfId="0" applyFont="1" applyFill="1" applyBorder="1" applyAlignment="1">
      <alignment wrapText="1"/>
    </xf>
    <xf numFmtId="0" fontId="2" fillId="14" borderId="14" xfId="0" applyFont="1" applyFill="1" applyBorder="1" applyAlignment="1">
      <alignment wrapText="1"/>
    </xf>
    <xf numFmtId="0" fontId="0" fillId="15" borderId="10" xfId="0" applyFill="1" applyBorder="1" applyAlignment="1">
      <alignment vertical="center"/>
    </xf>
    <xf numFmtId="0" fontId="0" fillId="15" borderId="10" xfId="0" applyFill="1" applyBorder="1" applyAlignment="1">
      <alignment vertical="center" wrapText="1"/>
    </xf>
    <xf numFmtId="0" fontId="0" fillId="0" borderId="10" xfId="0" applyBorder="1" applyAlignment="1">
      <alignment vertical="center"/>
    </xf>
    <xf numFmtId="0" fontId="0" fillId="0" borderId="10" xfId="0" applyBorder="1" applyAlignment="1">
      <alignment vertical="center" wrapText="1"/>
    </xf>
    <xf numFmtId="0" fontId="0" fillId="0" borderId="10" xfId="0" applyBorder="1" applyAlignment="1">
      <alignment horizontal="left" vertical="center" wrapText="1"/>
    </xf>
    <xf numFmtId="0" fontId="10" fillId="15" borderId="10" xfId="0" applyFont="1" applyFill="1" applyBorder="1" applyAlignment="1">
      <alignment vertical="center"/>
    </xf>
    <xf numFmtId="0" fontId="0" fillId="4" borderId="10" xfId="0" applyFill="1" applyBorder="1" applyAlignment="1">
      <alignment vertical="center"/>
    </xf>
    <xf numFmtId="0" fontId="0" fillId="5" borderId="10" xfId="0" applyFill="1" applyBorder="1" applyAlignment="1">
      <alignment vertical="center"/>
    </xf>
    <xf numFmtId="0" fontId="0" fillId="8" borderId="10" xfId="0" applyFill="1" applyBorder="1" applyAlignment="1">
      <alignment vertical="center"/>
    </xf>
    <xf numFmtId="0" fontId="0" fillId="5" borderId="10" xfId="0" applyFill="1" applyBorder="1" applyAlignment="1">
      <alignment vertical="center" wrapText="1"/>
    </xf>
    <xf numFmtId="0" fontId="0" fillId="0" borderId="10" xfId="0" quotePrefix="1" applyBorder="1" applyAlignment="1">
      <alignment vertical="center" wrapText="1"/>
    </xf>
    <xf numFmtId="0" fontId="0" fillId="15" borderId="11" xfId="0" applyFill="1" applyBorder="1" applyAlignment="1">
      <alignment vertical="center"/>
    </xf>
    <xf numFmtId="0" fontId="0" fillId="0" borderId="11" xfId="0" applyBorder="1" applyAlignment="1">
      <alignment vertical="center"/>
    </xf>
    <xf numFmtId="0" fontId="2" fillId="14" borderId="13" xfId="0" applyFont="1" applyFill="1" applyBorder="1" applyAlignment="1">
      <alignment vertical="center" wrapText="1"/>
    </xf>
    <xf numFmtId="0" fontId="2" fillId="11" borderId="13" xfId="0" applyFont="1" applyFill="1" applyBorder="1" applyAlignment="1">
      <alignment vertical="center" wrapText="1"/>
    </xf>
    <xf numFmtId="14" fontId="0" fillId="0" borderId="0" xfId="0" applyNumberFormat="1"/>
    <xf numFmtId="0" fontId="9" fillId="5" borderId="10" xfId="0" applyFont="1" applyFill="1" applyBorder="1" applyAlignment="1">
      <alignment wrapText="1"/>
    </xf>
    <xf numFmtId="0" fontId="9" fillId="0" borderId="10" xfId="0" applyFont="1" applyBorder="1"/>
    <xf numFmtId="0" fontId="0" fillId="0" borderId="10" xfId="0" applyBorder="1"/>
    <xf numFmtId="0" fontId="10" fillId="0" borderId="10" xfId="0" applyFont="1" applyBorder="1" applyAlignment="1">
      <alignment vertical="center"/>
    </xf>
    <xf numFmtId="0" fontId="9" fillId="0" borderId="10" xfId="0" applyFont="1" applyBorder="1" applyAlignment="1">
      <alignment wrapText="1"/>
    </xf>
    <xf numFmtId="0" fontId="0" fillId="0" borderId="0" xfId="0" quotePrefix="1" applyAlignment="1">
      <alignment wrapText="1"/>
    </xf>
    <xf numFmtId="0" fontId="14" fillId="0" borderId="15" xfId="0" applyFont="1" applyBorder="1" applyAlignment="1">
      <alignment vertical="top" wrapText="1"/>
    </xf>
    <xf numFmtId="0" fontId="15" fillId="16" borderId="15" xfId="0" applyFont="1" applyFill="1" applyBorder="1" applyAlignment="1">
      <alignment horizontal="center" vertical="center" wrapText="1"/>
    </xf>
    <xf numFmtId="0" fontId="16" fillId="0" borderId="0" xfId="0" applyFont="1" applyAlignment="1">
      <alignment vertical="top" wrapText="1"/>
    </xf>
    <xf numFmtId="0" fontId="16" fillId="0" borderId="0" xfId="0" applyFont="1" applyAlignment="1">
      <alignment horizontal="left" vertical="top" wrapText="1"/>
    </xf>
    <xf numFmtId="0" fontId="17" fillId="4" borderId="0" xfId="0" applyFont="1" applyFill="1" applyAlignment="1">
      <alignment horizontal="right" vertical="center"/>
    </xf>
    <xf numFmtId="0" fontId="18" fillId="4" borderId="0" xfId="0" applyFont="1" applyFill="1"/>
    <xf numFmtId="0" fontId="19" fillId="9" borderId="9" xfId="0" applyFont="1" applyFill="1" applyBorder="1" applyAlignment="1">
      <alignment horizontal="center" vertical="center"/>
    </xf>
    <xf numFmtId="0" fontId="0" fillId="4" borderId="1" xfId="0" applyFill="1" applyBorder="1"/>
    <xf numFmtId="0" fontId="0" fillId="4" borderId="1" xfId="0" applyFill="1" applyBorder="1" applyAlignment="1">
      <alignment wrapText="1"/>
    </xf>
    <xf numFmtId="0" fontId="20" fillId="0" borderId="0" xfId="0" applyFont="1" applyAlignment="1">
      <alignment vertical="top" wrapText="1"/>
    </xf>
    <xf numFmtId="14" fontId="0" fillId="0" borderId="0" xfId="0" applyNumberFormat="1" applyProtection="1">
      <protection locked="0"/>
    </xf>
    <xf numFmtId="0" fontId="0" fillId="5" borderId="0" xfId="0" applyFill="1" applyAlignment="1">
      <alignment wrapText="1"/>
    </xf>
    <xf numFmtId="11" fontId="14" fillId="0" borderId="15" xfId="0" applyNumberFormat="1" applyFont="1" applyBorder="1" applyAlignment="1">
      <alignment vertical="top" wrapText="1"/>
    </xf>
    <xf numFmtId="14" fontId="0" fillId="0" borderId="0" xfId="0" applyNumberFormat="1" applyAlignment="1">
      <alignment wrapText="1"/>
    </xf>
    <xf numFmtId="0" fontId="24" fillId="4" borderId="0" xfId="0" applyFont="1" applyFill="1" applyAlignment="1">
      <alignment horizontal="center" vertical="center" textRotation="90"/>
    </xf>
    <xf numFmtId="0" fontId="27" fillId="4" borderId="20" xfId="0" applyFont="1" applyFill="1" applyBorder="1" applyAlignment="1">
      <alignment horizontal="center" vertical="center"/>
    </xf>
    <xf numFmtId="0" fontId="27" fillId="4" borderId="20" xfId="0" applyFont="1" applyFill="1" applyBorder="1" applyAlignment="1">
      <alignment horizontal="left" vertical="center" wrapText="1"/>
    </xf>
    <xf numFmtId="0" fontId="24" fillId="17" borderId="0" xfId="0" applyFont="1" applyFill="1"/>
    <xf numFmtId="0" fontId="24" fillId="4" borderId="0" xfId="0" applyFont="1" applyFill="1"/>
    <xf numFmtId="0" fontId="24" fillId="20" borderId="0" xfId="0" applyFont="1" applyFill="1"/>
    <xf numFmtId="0" fontId="24" fillId="18" borderId="0" xfId="0" applyFont="1" applyFill="1"/>
    <xf numFmtId="0" fontId="24" fillId="21" borderId="0" xfId="0" applyFont="1" applyFill="1"/>
    <xf numFmtId="0" fontId="25" fillId="17" borderId="0" xfId="0" applyFont="1" applyFill="1"/>
    <xf numFmtId="0" fontId="25" fillId="4" borderId="0" xfId="0" applyFont="1" applyFill="1"/>
    <xf numFmtId="0" fontId="25" fillId="20" borderId="0" xfId="0" applyFont="1" applyFill="1"/>
    <xf numFmtId="0" fontId="25" fillId="18" borderId="0" xfId="0" applyFont="1" applyFill="1"/>
    <xf numFmtId="0" fontId="25" fillId="21" borderId="0" xfId="0" applyFont="1" applyFill="1"/>
    <xf numFmtId="0" fontId="27" fillId="4" borderId="22" xfId="0" applyFont="1" applyFill="1" applyBorder="1" applyAlignment="1">
      <alignment horizontal="center" vertical="center"/>
    </xf>
    <xf numFmtId="0" fontId="27" fillId="4" borderId="22" xfId="0" applyFont="1" applyFill="1" applyBorder="1" applyAlignment="1">
      <alignment horizontal="left" vertical="center" wrapText="1"/>
    </xf>
    <xf numFmtId="0" fontId="27" fillId="4" borderId="20" xfId="0" applyFont="1" applyFill="1" applyBorder="1" applyAlignment="1">
      <alignment horizontal="center" vertical="center" wrapText="1"/>
    </xf>
    <xf numFmtId="0" fontId="27" fillId="4" borderId="0" xfId="0" applyFont="1" applyFill="1" applyAlignment="1">
      <alignment horizontal="center" vertical="center" wrapText="1"/>
    </xf>
    <xf numFmtId="0" fontId="22" fillId="19" borderId="0" xfId="0" applyFont="1" applyFill="1" applyAlignment="1">
      <alignment horizontal="center" vertical="center"/>
    </xf>
    <xf numFmtId="0" fontId="29" fillId="19" borderId="0" xfId="0" applyFont="1" applyFill="1" applyAlignment="1">
      <alignment wrapText="1"/>
    </xf>
    <xf numFmtId="0" fontId="23" fillId="4" borderId="21" xfId="0" applyFont="1" applyFill="1" applyBorder="1"/>
    <xf numFmtId="0" fontId="23" fillId="4" borderId="20" xfId="0" applyFont="1" applyFill="1" applyBorder="1"/>
    <xf numFmtId="0" fontId="23" fillId="4" borderId="22" xfId="0" applyFont="1" applyFill="1" applyBorder="1"/>
    <xf numFmtId="0" fontId="27" fillId="4" borderId="21" xfId="0" applyFont="1" applyFill="1" applyBorder="1" applyAlignment="1">
      <alignment horizontal="right"/>
    </xf>
    <xf numFmtId="0" fontId="27" fillId="4" borderId="20" xfId="0" applyFont="1" applyFill="1" applyBorder="1" applyAlignment="1">
      <alignment horizontal="right"/>
    </xf>
    <xf numFmtId="0" fontId="27" fillId="4" borderId="22" xfId="0" applyFont="1" applyFill="1" applyBorder="1" applyAlignment="1">
      <alignment horizontal="right"/>
    </xf>
    <xf numFmtId="0" fontId="27" fillId="4" borderId="23" xfId="0" applyFont="1" applyFill="1" applyBorder="1" applyAlignment="1">
      <alignment horizontal="center" vertical="center"/>
    </xf>
    <xf numFmtId="0" fontId="27" fillId="4" borderId="24" xfId="0" applyFont="1" applyFill="1" applyBorder="1" applyAlignment="1">
      <alignment horizontal="center" vertical="center"/>
    </xf>
    <xf numFmtId="0" fontId="0" fillId="4" borderId="25" xfId="0" applyFill="1" applyBorder="1" applyAlignment="1">
      <alignment horizontal="right" vertical="center" wrapText="1"/>
    </xf>
    <xf numFmtId="0" fontId="0" fillId="4" borderId="25" xfId="0" applyFill="1" applyBorder="1" applyAlignment="1">
      <alignment horizontal="right" vertical="center"/>
    </xf>
    <xf numFmtId="0" fontId="0" fillId="4" borderId="28" xfId="0" applyFill="1" applyBorder="1" applyAlignment="1">
      <alignment horizontal="right" vertical="center"/>
    </xf>
    <xf numFmtId="0" fontId="28" fillId="20" borderId="0" xfId="0" applyFont="1" applyFill="1" applyAlignment="1">
      <alignment horizontal="right"/>
    </xf>
    <xf numFmtId="0" fontId="30" fillId="4" borderId="21" xfId="0" applyFont="1" applyFill="1" applyBorder="1" applyAlignment="1">
      <alignment horizontal="right" vertical="center"/>
    </xf>
    <xf numFmtId="0" fontId="30" fillId="4" borderId="20" xfId="0" applyFont="1" applyFill="1" applyBorder="1" applyAlignment="1">
      <alignment horizontal="right" vertical="center"/>
    </xf>
    <xf numFmtId="0" fontId="29" fillId="4" borderId="20" xfId="0" applyFont="1" applyFill="1" applyBorder="1" applyAlignment="1">
      <alignment horizontal="center" vertical="center"/>
    </xf>
    <xf numFmtId="0" fontId="29" fillId="4" borderId="20" xfId="0" applyFont="1" applyFill="1" applyBorder="1" applyAlignment="1">
      <alignment horizontal="left" vertical="center"/>
    </xf>
    <xf numFmtId="0" fontId="30" fillId="4" borderId="25" xfId="0" applyFont="1" applyFill="1" applyBorder="1" applyAlignment="1">
      <alignment horizontal="center" vertical="center"/>
    </xf>
    <xf numFmtId="0" fontId="30" fillId="4" borderId="26" xfId="0" applyFont="1" applyFill="1" applyBorder="1" applyAlignment="1">
      <alignment horizontal="center"/>
    </xf>
    <xf numFmtId="0" fontId="30" fillId="4" borderId="27" xfId="0" applyFont="1" applyFill="1" applyBorder="1" applyAlignment="1">
      <alignment horizontal="center"/>
    </xf>
    <xf numFmtId="0" fontId="29" fillId="4" borderId="25" xfId="0" applyFont="1" applyFill="1" applyBorder="1" applyAlignment="1">
      <alignment horizontal="right" vertical="center"/>
    </xf>
    <xf numFmtId="0" fontId="29" fillId="4" borderId="26" xfId="0" applyFont="1" applyFill="1" applyBorder="1"/>
    <xf numFmtId="0" fontId="29" fillId="4" borderId="27" xfId="0" applyFont="1" applyFill="1" applyBorder="1"/>
    <xf numFmtId="0" fontId="29" fillId="4" borderId="29" xfId="0" applyFont="1" applyFill="1" applyBorder="1"/>
    <xf numFmtId="0" fontId="29" fillId="4" borderId="30" xfId="0" applyFont="1" applyFill="1" applyBorder="1"/>
    <xf numFmtId="0" fontId="29" fillId="4" borderId="28" xfId="0" applyFont="1" applyFill="1" applyBorder="1" applyAlignment="1">
      <alignment horizontal="right" vertical="center"/>
    </xf>
    <xf numFmtId="0" fontId="4" fillId="19" borderId="1" xfId="0" applyFont="1" applyFill="1" applyBorder="1" applyAlignment="1">
      <alignment vertical="center" wrapText="1"/>
    </xf>
    <xf numFmtId="0" fontId="0" fillId="19" borderId="1" xfId="0" applyFill="1" applyBorder="1" applyAlignment="1">
      <alignment vertical="center" wrapText="1"/>
    </xf>
    <xf numFmtId="0" fontId="4" fillId="19" borderId="1" xfId="0" applyFont="1" applyFill="1" applyBorder="1" applyAlignment="1">
      <alignment vertical="center"/>
    </xf>
    <xf numFmtId="0" fontId="22" fillId="0" borderId="0" xfId="0" applyFont="1" applyAlignment="1">
      <alignment horizontal="center" vertical="center"/>
    </xf>
    <xf numFmtId="0" fontId="29" fillId="0" borderId="0" xfId="0" applyFont="1" applyAlignment="1">
      <alignment wrapText="1"/>
    </xf>
    <xf numFmtId="0" fontId="30" fillId="4" borderId="26" xfId="0" applyFont="1" applyFill="1" applyBorder="1" applyAlignment="1">
      <alignment horizontal="center" vertical="center" wrapText="1"/>
    </xf>
    <xf numFmtId="0" fontId="30" fillId="4" borderId="27" xfId="0" applyFont="1" applyFill="1" applyBorder="1" applyAlignment="1">
      <alignment horizontal="center" vertical="center" wrapText="1"/>
    </xf>
    <xf numFmtId="0" fontId="29" fillId="4" borderId="25" xfId="0" applyFont="1" applyFill="1" applyBorder="1" applyAlignment="1">
      <alignment horizontal="right" vertical="center" wrapText="1"/>
    </xf>
    <xf numFmtId="0" fontId="29" fillId="4" borderId="27" xfId="0" applyFont="1" applyFill="1" applyBorder="1" applyAlignment="1">
      <alignment horizontal="left" vertical="center" wrapText="1"/>
    </xf>
    <xf numFmtId="0" fontId="29" fillId="4" borderId="26" xfId="0" applyFont="1" applyFill="1" applyBorder="1" applyAlignment="1">
      <alignment horizontal="center" vertical="center" wrapText="1"/>
    </xf>
    <xf numFmtId="0" fontId="28" fillId="20" borderId="0" xfId="0" applyFont="1" applyFill="1" applyAlignment="1">
      <alignment vertical="center"/>
    </xf>
    <xf numFmtId="0" fontId="28" fillId="20" borderId="0" xfId="0" applyFont="1" applyFill="1" applyAlignment="1">
      <alignment horizontal="center" vertical="center"/>
    </xf>
    <xf numFmtId="0" fontId="26" fillId="20" borderId="0" xfId="0" applyFont="1" applyFill="1" applyAlignment="1">
      <alignment wrapText="1"/>
    </xf>
    <xf numFmtId="0" fontId="27" fillId="4" borderId="21" xfId="0" applyFont="1" applyFill="1" applyBorder="1" applyAlignment="1">
      <alignment horizontal="center" vertical="center" wrapText="1"/>
    </xf>
    <xf numFmtId="0" fontId="27" fillId="4" borderId="21" xfId="0" applyFont="1" applyFill="1" applyBorder="1" applyAlignment="1">
      <alignment horizontal="left" vertical="center" wrapText="1"/>
    </xf>
    <xf numFmtId="14" fontId="27" fillId="4" borderId="21" xfId="0" applyNumberFormat="1" applyFont="1" applyFill="1" applyBorder="1" applyAlignment="1">
      <alignment horizontal="center" vertical="center" wrapText="1"/>
    </xf>
    <xf numFmtId="0" fontId="27" fillId="4" borderId="22" xfId="0" applyFont="1" applyFill="1" applyBorder="1" applyAlignment="1">
      <alignment horizontal="center" vertical="center" wrapText="1"/>
    </xf>
    <xf numFmtId="0" fontId="0" fillId="4" borderId="27" xfId="0" applyFill="1" applyBorder="1" applyAlignment="1">
      <alignment horizontal="center" vertical="center"/>
    </xf>
    <xf numFmtId="0" fontId="0" fillId="4" borderId="30" xfId="0" applyFill="1" applyBorder="1" applyAlignment="1">
      <alignment horizontal="center" vertical="center"/>
    </xf>
    <xf numFmtId="0" fontId="31" fillId="0" borderId="0" xfId="0" applyFont="1"/>
    <xf numFmtId="0" fontId="32" fillId="0" borderId="0" xfId="0" applyFont="1"/>
    <xf numFmtId="0" fontId="0" fillId="5" borderId="0" xfId="0" applyFill="1"/>
    <xf numFmtId="0" fontId="33" fillId="15" borderId="10" xfId="0" applyFont="1" applyFill="1" applyBorder="1" applyAlignment="1">
      <alignment wrapText="1"/>
    </xf>
    <xf numFmtId="0" fontId="34" fillId="22" borderId="10" xfId="0" applyFont="1" applyFill="1" applyBorder="1" applyAlignment="1">
      <alignment wrapText="1"/>
    </xf>
    <xf numFmtId="0" fontId="33" fillId="0" borderId="10" xfId="0" applyFont="1" applyBorder="1" applyAlignment="1">
      <alignment wrapText="1"/>
    </xf>
    <xf numFmtId="0" fontId="35" fillId="23" borderId="10" xfId="0" applyFont="1" applyFill="1" applyBorder="1" applyAlignment="1">
      <alignment wrapText="1"/>
    </xf>
    <xf numFmtId="0" fontId="36" fillId="13" borderId="10" xfId="0" applyFont="1" applyFill="1" applyBorder="1" applyAlignment="1">
      <alignment wrapText="1"/>
    </xf>
    <xf numFmtId="0" fontId="33" fillId="15" borderId="10" xfId="0" quotePrefix="1" applyFont="1" applyFill="1" applyBorder="1" applyAlignment="1">
      <alignment wrapText="1"/>
    </xf>
    <xf numFmtId="0" fontId="36" fillId="24" borderId="10" xfId="0" applyFont="1" applyFill="1" applyBorder="1" applyAlignment="1">
      <alignment wrapText="1"/>
    </xf>
    <xf numFmtId="0" fontId="33" fillId="0" borderId="10" xfId="0" quotePrefix="1" applyFont="1" applyBorder="1" applyAlignment="1">
      <alignment wrapText="1"/>
    </xf>
    <xf numFmtId="0" fontId="37" fillId="25" borderId="10" xfId="0" applyFont="1" applyFill="1" applyBorder="1" applyAlignment="1">
      <alignment wrapText="1"/>
    </xf>
    <xf numFmtId="0" fontId="37" fillId="26" borderId="10" xfId="0" applyFont="1" applyFill="1" applyBorder="1" applyAlignment="1">
      <alignment wrapText="1"/>
    </xf>
    <xf numFmtId="0" fontId="34" fillId="27" borderId="10" xfId="0" applyFont="1" applyFill="1" applyBorder="1" applyAlignment="1">
      <alignment wrapText="1"/>
    </xf>
    <xf numFmtId="0" fontId="36" fillId="28" borderId="10" xfId="0" applyFont="1" applyFill="1" applyBorder="1" applyAlignment="1">
      <alignment wrapText="1"/>
    </xf>
    <xf numFmtId="0" fontId="38" fillId="27" borderId="31" xfId="0" applyFont="1" applyFill="1" applyBorder="1" applyAlignment="1">
      <alignment wrapText="1"/>
    </xf>
    <xf numFmtId="0" fontId="39" fillId="29" borderId="32" xfId="0" applyFont="1" applyFill="1" applyBorder="1" applyAlignment="1">
      <alignment wrapText="1"/>
    </xf>
    <xf numFmtId="0" fontId="33" fillId="29" borderId="32" xfId="0" applyFont="1" applyFill="1" applyBorder="1" applyAlignment="1">
      <alignment wrapText="1"/>
    </xf>
    <xf numFmtId="0" fontId="38" fillId="27" borderId="32" xfId="0" applyFont="1" applyFill="1" applyBorder="1" applyAlignment="1">
      <alignment wrapText="1"/>
    </xf>
    <xf numFmtId="0" fontId="38" fillId="27" borderId="33" xfId="0" applyFont="1" applyFill="1" applyBorder="1" applyAlignment="1">
      <alignment wrapText="1"/>
    </xf>
    <xf numFmtId="0" fontId="39" fillId="30" borderId="34" xfId="0" applyFont="1" applyFill="1" applyBorder="1" applyAlignment="1">
      <alignment wrapText="1"/>
    </xf>
    <xf numFmtId="0" fontId="33" fillId="30" borderId="34" xfId="0" applyFont="1" applyFill="1" applyBorder="1" applyAlignment="1">
      <alignment wrapText="1"/>
    </xf>
    <xf numFmtId="0" fontId="38" fillId="27" borderId="34" xfId="0" applyFont="1" applyFill="1" applyBorder="1" applyAlignment="1">
      <alignment wrapText="1"/>
    </xf>
    <xf numFmtId="0" fontId="39" fillId="29" borderId="34" xfId="0" applyFont="1" applyFill="1" applyBorder="1" applyAlignment="1">
      <alignment wrapText="1"/>
    </xf>
    <xf numFmtId="0" fontId="33" fillId="29" borderId="34" xfId="0" applyFont="1" applyFill="1" applyBorder="1" applyAlignment="1">
      <alignment wrapText="1"/>
    </xf>
    <xf numFmtId="0" fontId="40" fillId="31" borderId="34" xfId="0" applyFont="1" applyFill="1" applyBorder="1" applyAlignment="1">
      <alignment wrapText="1"/>
    </xf>
    <xf numFmtId="0" fontId="41" fillId="24" borderId="33" xfId="0" applyFont="1" applyFill="1" applyBorder="1" applyAlignment="1">
      <alignment wrapText="1"/>
    </xf>
    <xf numFmtId="0" fontId="41" fillId="24" borderId="34" xfId="0" applyFont="1" applyFill="1" applyBorder="1" applyAlignment="1">
      <alignment wrapText="1"/>
    </xf>
    <xf numFmtId="0" fontId="42" fillId="32" borderId="33" xfId="0" applyFont="1" applyFill="1" applyBorder="1" applyAlignment="1">
      <alignment wrapText="1"/>
    </xf>
    <xf numFmtId="0" fontId="43" fillId="29" borderId="31" xfId="0" applyFont="1" applyFill="1" applyBorder="1" applyAlignment="1">
      <alignment wrapText="1"/>
    </xf>
    <xf numFmtId="0" fontId="44" fillId="29" borderId="31" xfId="0" applyFont="1" applyFill="1" applyBorder="1" applyAlignment="1">
      <alignment wrapText="1"/>
    </xf>
    <xf numFmtId="0" fontId="43" fillId="30" borderId="31" xfId="0" applyFont="1" applyFill="1" applyBorder="1" applyAlignment="1">
      <alignment wrapText="1"/>
    </xf>
    <xf numFmtId="0" fontId="44" fillId="30" borderId="31" xfId="0" applyFont="1" applyFill="1" applyBorder="1" applyAlignment="1">
      <alignment wrapText="1"/>
    </xf>
    <xf numFmtId="15" fontId="0" fillId="4" borderId="1" xfId="0" applyNumberFormat="1" applyFill="1" applyBorder="1" applyAlignment="1">
      <alignment wrapText="1"/>
    </xf>
    <xf numFmtId="0" fontId="26" fillId="20" borderId="21" xfId="0" applyFont="1" applyFill="1" applyBorder="1" applyAlignment="1">
      <alignment horizontal="center" wrapText="1"/>
    </xf>
    <xf numFmtId="0" fontId="7" fillId="17" borderId="1" xfId="0" applyFont="1" applyFill="1" applyBorder="1" applyAlignment="1">
      <alignment horizontal="left" vertical="center" wrapText="1"/>
    </xf>
    <xf numFmtId="0" fontId="11" fillId="18" borderId="17" xfId="0" applyFont="1" applyFill="1" applyBorder="1" applyAlignment="1">
      <alignment horizontal="left" vertical="center" wrapText="1"/>
    </xf>
    <xf numFmtId="0" fontId="11" fillId="18" borderId="18" xfId="0" applyFont="1" applyFill="1" applyBorder="1" applyAlignment="1">
      <alignment horizontal="left" vertical="center" wrapText="1"/>
    </xf>
    <xf numFmtId="0" fontId="11" fillId="18" borderId="19" xfId="0" applyFont="1" applyFill="1" applyBorder="1" applyAlignment="1">
      <alignment horizontal="left" vertical="center" wrapText="1"/>
    </xf>
    <xf numFmtId="0" fontId="0" fillId="4" borderId="17" xfId="0" applyFill="1" applyBorder="1" applyAlignment="1">
      <alignment horizontal="left" wrapText="1"/>
    </xf>
    <xf numFmtId="0" fontId="0" fillId="4" borderId="18" xfId="0" applyFill="1" applyBorder="1" applyAlignment="1">
      <alignment horizontal="left" wrapText="1"/>
    </xf>
    <xf numFmtId="0" fontId="0" fillId="4" borderId="19" xfId="0" applyFill="1" applyBorder="1" applyAlignment="1">
      <alignment horizontal="left" wrapText="1"/>
    </xf>
    <xf numFmtId="0" fontId="7" fillId="17" borderId="17" xfId="0" applyFont="1" applyFill="1" applyBorder="1" applyAlignment="1">
      <alignment horizontal="left" vertical="center" wrapText="1"/>
    </xf>
    <xf numFmtId="0" fontId="7" fillId="17" borderId="18" xfId="0" applyFont="1" applyFill="1" applyBorder="1" applyAlignment="1">
      <alignment horizontal="left" vertical="center" wrapText="1"/>
    </xf>
    <xf numFmtId="0" fontId="7" fillId="17" borderId="19" xfId="0" applyFont="1" applyFill="1" applyBorder="1" applyAlignment="1">
      <alignment horizontal="left" vertical="center" wrapText="1"/>
    </xf>
    <xf numFmtId="0" fontId="0" fillId="4" borderId="17"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11" fillId="18" borderId="17" xfId="0" applyFont="1" applyFill="1" applyBorder="1" applyAlignment="1">
      <alignment horizontal="left" vertical="center"/>
    </xf>
    <xf numFmtId="0" fontId="11" fillId="18" borderId="18" xfId="0" applyFont="1" applyFill="1" applyBorder="1" applyAlignment="1">
      <alignment horizontal="left" vertical="center"/>
    </xf>
    <xf numFmtId="0" fontId="11" fillId="18" borderId="19" xfId="0" applyFont="1" applyFill="1" applyBorder="1" applyAlignment="1">
      <alignment horizontal="left" vertical="center"/>
    </xf>
    <xf numFmtId="0" fontId="7" fillId="17" borderId="17" xfId="0" applyFont="1" applyFill="1" applyBorder="1" applyAlignment="1">
      <alignment horizontal="left" vertical="center"/>
    </xf>
    <xf numFmtId="0" fontId="7" fillId="17" borderId="18" xfId="0" applyFont="1" applyFill="1" applyBorder="1" applyAlignment="1">
      <alignment horizontal="left" vertical="center"/>
    </xf>
    <xf numFmtId="0" fontId="7" fillId="17" borderId="19" xfId="0" applyFont="1" applyFill="1" applyBorder="1" applyAlignment="1">
      <alignment horizontal="left" vertical="center"/>
    </xf>
    <xf numFmtId="0" fontId="24" fillId="18" borderId="0" xfId="0" applyFont="1" applyFill="1" applyAlignment="1">
      <alignment horizontal="center" vertical="center" textRotation="90"/>
    </xf>
    <xf numFmtId="0" fontId="24" fillId="21" borderId="0" xfId="0" applyFont="1" applyFill="1" applyAlignment="1">
      <alignment horizontal="center" vertical="center" textRotation="90"/>
    </xf>
    <xf numFmtId="0" fontId="24" fillId="17" borderId="0" xfId="0" applyFont="1" applyFill="1" applyAlignment="1">
      <alignment horizontal="center" vertical="center" textRotation="90"/>
    </xf>
    <xf numFmtId="0" fontId="24" fillId="20" borderId="0" xfId="0" applyFont="1" applyFill="1" applyAlignment="1">
      <alignment horizontal="center" vertical="center" textRotation="90"/>
    </xf>
    <xf numFmtId="0" fontId="26" fillId="20" borderId="0" xfId="0" applyFont="1" applyFill="1" applyAlignment="1">
      <alignment horizontal="center"/>
    </xf>
    <xf numFmtId="0" fontId="29" fillId="4" borderId="21" xfId="0" applyFont="1" applyFill="1" applyBorder="1" applyAlignment="1">
      <alignment horizontal="left" vertical="center" wrapText="1"/>
    </xf>
    <xf numFmtId="0" fontId="29" fillId="4" borderId="20" xfId="0" applyFont="1" applyFill="1" applyBorder="1" applyAlignment="1">
      <alignment horizontal="left" vertical="center" wrapText="1"/>
    </xf>
    <xf numFmtId="0" fontId="3" fillId="0" borderId="0" xfId="0" applyFont="1" applyAlignment="1">
      <alignment horizontal="center"/>
    </xf>
    <xf numFmtId="0" fontId="0" fillId="0" borderId="0" xfId="0" applyAlignment="1">
      <alignment horizontal="center" vertical="top" wrapText="1"/>
    </xf>
    <xf numFmtId="0" fontId="13" fillId="3" borderId="0" xfId="0" applyFont="1" applyFill="1" applyAlignment="1">
      <alignment horizontal="center" vertical="center"/>
    </xf>
    <xf numFmtId="0" fontId="0" fillId="2" borderId="0" xfId="0" applyFill="1" applyAlignment="1">
      <alignment horizontal="center" vertical="center"/>
    </xf>
    <xf numFmtId="0" fontId="16" fillId="0" borderId="16" xfId="0" applyFont="1" applyBorder="1" applyAlignment="1">
      <alignment horizontal="left" vertical="top" wrapText="1"/>
    </xf>
  </cellXfs>
  <cellStyles count="4">
    <cellStyle name="Hyperlink" xfId="3" xr:uid="{00000000-000B-0000-0000-000008000000}"/>
    <cellStyle name="Normal" xfId="0" builtinId="0"/>
    <cellStyle name="Normal 2" xfId="1" xr:uid="{B335E151-7992-440B-88C5-F1B9FEE7C8E2}"/>
    <cellStyle name="Normal 6" xfId="2" xr:uid="{09051A25-CC6E-4A9E-9355-4BF8C2CB0B7C}"/>
  </cellStyles>
  <dxfs count="146">
    <dxf>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4" formatCode="yyyy\-mm\-dd;@"/>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rgb="FFB3D9F9"/>
        </left>
        <right style="thin">
          <color rgb="FFB3D9F9"/>
        </right>
        <top style="thin">
          <color rgb="FFB3D9F9"/>
        </top>
        <bottom style="thin">
          <color rgb="FFB3D9F9"/>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rgb="FFB3D9F9"/>
        </left>
        <right style="thin">
          <color rgb="FFB3D9F9"/>
        </right>
        <top style="thin">
          <color rgb="FFB3D9F9"/>
        </top>
        <bottom style="thin">
          <color rgb="FFB3D9F9"/>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rgb="FFB3D9F9"/>
        </left>
        <right style="thin">
          <color rgb="FFB3D9F9"/>
        </right>
        <top style="thin">
          <color rgb="FFB3D9F9"/>
        </top>
        <bottom style="thin">
          <color rgb="FFB3D9F9"/>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rgb="FFB3D9F9"/>
        </left>
        <right style="thin">
          <color rgb="FFB3D9F9"/>
        </right>
        <top style="thin">
          <color rgb="FFB3D9F9"/>
        </top>
        <bottom style="thin">
          <color rgb="FFB3D9F9"/>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border diagonalUp="0" diagonalDown="0">
        <left style="thin">
          <color rgb="FFB3D9F9"/>
        </left>
        <right style="thin">
          <color rgb="FFB3D9F9"/>
        </right>
        <top style="thin">
          <color rgb="FFB3D9F9"/>
        </top>
        <bottom style="thin">
          <color rgb="FFB3D9F9"/>
        </bottom>
        <vertical/>
        <horizontal/>
      </border>
    </dxf>
    <dxf>
      <font>
        <b val="0"/>
        <i val="0"/>
        <strike val="0"/>
        <condense val="0"/>
        <extend val="0"/>
        <outline val="0"/>
        <shadow val="0"/>
        <u val="none"/>
        <vertAlign val="baseline"/>
        <sz val="11"/>
        <color rgb="FF000000"/>
        <name val="Calibri"/>
        <family val="2"/>
        <scheme val="none"/>
      </font>
      <fill>
        <patternFill patternType="solid">
          <fgColor indexed="64"/>
          <bgColor rgb="FFFFFF00"/>
        </patternFill>
      </fill>
      <border diagonalUp="0" diagonalDown="0">
        <left style="thin">
          <color rgb="FFB3D9F9"/>
        </left>
        <right style="thin">
          <color rgb="FFB3D9F9"/>
        </right>
        <top style="thin">
          <color rgb="FFB3D9F9"/>
        </top>
        <bottom style="thin">
          <color rgb="FFB3D9F9"/>
        </bottom>
        <vertical/>
        <horizontal/>
      </border>
    </dxf>
    <dxf>
      <font>
        <b val="0"/>
        <i val="0"/>
        <strike val="0"/>
        <condense val="0"/>
        <extend val="0"/>
        <outline val="0"/>
        <shadow val="0"/>
        <u val="none"/>
        <vertAlign val="baseline"/>
        <sz val="11"/>
        <color rgb="FF000000"/>
        <name val="Calibri"/>
        <family val="2"/>
        <scheme val="none"/>
      </font>
      <fill>
        <patternFill patternType="solid">
          <fgColor indexed="64"/>
          <bgColor rgb="FFFFFF00"/>
        </patternFill>
      </fill>
      <border diagonalUp="0" diagonalDown="0">
        <left style="thin">
          <color rgb="FFB3D9F9"/>
        </left>
        <right style="thin">
          <color rgb="FFB3D9F9"/>
        </right>
        <top style="thin">
          <color rgb="FFB3D9F9"/>
        </top>
        <bottom style="thin">
          <color rgb="FFB3D9F9"/>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rgb="FFB3D9F9"/>
        </left>
        <right style="thin">
          <color rgb="FFB3D9F9"/>
        </right>
        <top style="thin">
          <color rgb="FFB3D9F9"/>
        </top>
        <bottom style="thin">
          <color rgb="FFB3D9F9"/>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rgb="FFB3D9F9"/>
        </left>
        <right style="thin">
          <color rgb="FFB3D9F9"/>
        </right>
        <top style="thin">
          <color rgb="FFB3D9F9"/>
        </top>
        <bottom style="thin">
          <color rgb="FFB3D9F9"/>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style="thin">
          <color rgb="FFB3D9F9"/>
        </right>
        <top style="thin">
          <color rgb="FFB3D9F9"/>
        </top>
        <bottom style="thin">
          <color rgb="FFB3D9F9"/>
        </bottom>
        <vertical/>
        <horizontal/>
      </border>
    </dxf>
    <dxf>
      <border outline="0">
        <bottom style="thin">
          <color rgb="FFB3D9F9"/>
        </bottom>
      </border>
    </dxf>
    <dxf>
      <border outline="0">
        <left style="thin">
          <color rgb="FFB3D9F9"/>
        </left>
        <top style="thin">
          <color rgb="FFB3D9F9"/>
        </top>
      </border>
    </dxf>
    <dxf>
      <font>
        <b/>
        <i val="0"/>
        <strike val="0"/>
        <condense val="0"/>
        <extend val="0"/>
        <outline val="0"/>
        <shadow val="0"/>
        <u val="none"/>
        <vertAlign val="baseline"/>
        <sz val="11"/>
        <color theme="0"/>
        <name val="Calibri"/>
        <family val="2"/>
        <scheme val="minor"/>
      </font>
      <fill>
        <patternFill patternType="solid">
          <fgColor theme="4"/>
          <bgColor rgb="FF003DA5"/>
        </patternFill>
      </fill>
      <alignment horizontal="general"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165" formatCode="yyyy/mm/dd"/>
    </dxf>
    <dxf>
      <numFmt numFmtId="165" formatCode="yyyy/mm/dd"/>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165" formatCode="yyyy/mm/dd"/>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dxf>
    <dxf>
      <numFmt numFmtId="0" formatCode="General"/>
    </dxf>
    <dxf>
      <border diagonalUp="0" diagonalDown="0">
        <left style="thin">
          <color rgb="FFB3D9F9"/>
        </left>
        <right style="thin">
          <color rgb="FFB3D9F9"/>
        </right>
        <top style="thin">
          <color rgb="FFB3D9F9"/>
        </top>
        <bottom style="thin">
          <color rgb="FFB3D9F9"/>
        </bottom>
        <vertical/>
        <horizontal/>
      </border>
    </dxf>
    <dxf>
      <numFmt numFmtId="0" formatCode="General"/>
    </dxf>
    <dxf>
      <numFmt numFmtId="0" formatCode="General"/>
      <border outline="0">
        <left style="thin">
          <color rgb="FFB3D9F9"/>
        </left>
      </border>
    </dxf>
    <dxf>
      <numFmt numFmtId="0" formatCode="General"/>
      <fill>
        <patternFill patternType="none">
          <fgColor indexed="64"/>
          <bgColor auto="1"/>
        </patternFill>
      </fill>
      <border diagonalUp="0" diagonalDown="0" outline="0">
        <left style="thin">
          <color rgb="FFB3D9F9"/>
        </left>
        <right style="thin">
          <color rgb="FFB3D9F9"/>
        </right>
        <top style="thin">
          <color rgb="FFB3D9F9"/>
        </top>
        <bottom style="thin">
          <color rgb="FFB3D9F9"/>
        </bottom>
      </border>
    </dxf>
    <dxf>
      <border outline="0">
        <bottom style="thin">
          <color rgb="FFB3D9F9"/>
        </bottom>
      </border>
    </dxf>
    <dxf>
      <border outline="0">
        <top style="thin">
          <color rgb="FFB3D9F9"/>
        </top>
      </border>
    </dxf>
    <dxf>
      <font>
        <b/>
        <i val="0"/>
        <strike val="0"/>
        <condense val="0"/>
        <extend val="0"/>
        <outline val="0"/>
        <shadow val="0"/>
        <u val="none"/>
        <vertAlign val="baseline"/>
        <sz val="11"/>
        <color theme="0"/>
        <name val="Calibri"/>
        <family val="2"/>
        <scheme val="minor"/>
      </font>
      <fill>
        <patternFill patternType="solid">
          <fgColor theme="4"/>
          <bgColor rgb="FF003DA5"/>
        </patternFill>
      </fil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left"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left" vertical="center" textRotation="0" wrapText="1" indent="0" justifyLastLine="0" shrinkToFit="0" readingOrder="0"/>
      <protection locked="0" hidden="0"/>
    </dxf>
    <dxf>
      <numFmt numFmtId="0" formatCode="General"/>
      <alignment horizontal="left" vertical="center" textRotation="0" wrapText="1" indent="0" justifyLastLine="0" shrinkToFit="0" readingOrder="0"/>
      <protection locked="0" hidden="0"/>
    </dxf>
    <dxf>
      <numFmt numFmtId="0" formatCode="General"/>
      <alignment horizontal="left" vertical="center" textRotation="0" wrapText="1" indent="0" justifyLastLine="0" shrinkToFit="0" readingOrder="0"/>
      <protection locked="0" hidden="0"/>
    </dxf>
    <dxf>
      <alignment horizontal="general" vertical="center" textRotation="0" wrapText="0" indent="0" justifyLastLine="0" shrinkToFit="0" readingOrder="0"/>
      <protection locked="1"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left" vertical="center" textRotation="0" wrapText="1" indent="0" justifyLastLine="0" shrinkToFit="0" readingOrder="0"/>
      <protection locked="0" hidden="0"/>
    </dxf>
    <dxf>
      <numFmt numFmtId="0" formatCode="General"/>
      <alignment horizontal="left"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vertical="center" textRotation="0" indent="0" justifyLastLine="0" shrinkToFit="0" readingOrder="0"/>
      <protection locked="1" hidden="0"/>
    </dxf>
    <dxf>
      <protection locked="1" hidden="0"/>
    </dxf>
    <dxf>
      <fill>
        <patternFill patternType="solid">
          <fgColor theme="1" tint="0.499984740745262"/>
          <bgColor rgb="FF808080"/>
        </patternFill>
      </fill>
    </dxf>
    <dxf>
      <fill>
        <patternFill>
          <bgColor rgb="FFFFC0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patternType="solid">
          <fgColor theme="1" tint="0.499984740745262"/>
          <bgColor rgb="FF808080"/>
        </patternFill>
      </fill>
    </dxf>
    <dxf>
      <fill>
        <patternFill patternType="solid">
          <fgColor theme="4" tint="0.79998168889431442"/>
          <bgColor theme="4" tint="0.79998168889431442"/>
        </patternFill>
      </fill>
    </dxf>
    <dxf>
      <fill>
        <patternFill patternType="solid">
          <fgColor rgb="FFCAE5FB"/>
          <bgColor rgb="FFCAE5FB"/>
        </patternFill>
      </fill>
    </dxf>
    <dxf>
      <font>
        <b/>
        <color theme="1"/>
      </font>
    </dxf>
    <dxf>
      <font>
        <b/>
        <color theme="1"/>
      </font>
    </dxf>
    <dxf>
      <font>
        <b/>
        <color theme="1"/>
      </font>
      <border>
        <top style="double">
          <color theme="4"/>
        </top>
      </border>
    </dxf>
    <dxf>
      <font>
        <b/>
        <color theme="0"/>
      </font>
      <fill>
        <patternFill patternType="solid">
          <fgColor theme="4"/>
          <bgColor rgb="FF003DA5"/>
        </patternFill>
      </fill>
      <border>
        <vertical/>
        <horizontal/>
      </border>
    </dxf>
    <dxf>
      <font>
        <color theme="1"/>
      </font>
      <border>
        <left style="thin">
          <color rgb="FFB3D9F9"/>
        </left>
        <right style="thin">
          <color rgb="FFB3D9F9"/>
        </right>
        <top style="thin">
          <color rgb="FFB3D9F9"/>
        </top>
        <bottom style="thin">
          <color rgb="FFB3D9F9"/>
        </bottom>
        <vertical style="thin">
          <color rgb="FFB3D9F9"/>
        </vertical>
        <horizontal style="thin">
          <color rgb="FFB3D9F9"/>
        </horizontal>
      </border>
    </dxf>
  </dxfs>
  <tableStyles count="1" defaultTableStyle="TableStyleMedium2" defaultPivotStyle="PivotStyleLight16">
    <tableStyle name="TableStyleMedium2 2" pivot="0" count="7" xr9:uid="{92C468AF-A440-4303-AAB9-0FE885B734B5}">
      <tableStyleElement type="wholeTable" dxfId="145"/>
      <tableStyleElement type="headerRow" dxfId="144"/>
      <tableStyleElement type="totalRow" dxfId="143"/>
      <tableStyleElement type="firstColumn" dxfId="142"/>
      <tableStyleElement type="lastColumn" dxfId="141"/>
      <tableStyleElement type="firstRowStripe" dxfId="140"/>
      <tableStyleElement type="firstColumnStripe" dxfId="139"/>
    </tableStyle>
  </tableStyles>
  <colors>
    <mruColors>
      <color rgb="FF064DD9"/>
      <color rgb="FF01233F"/>
      <color rgb="FFDBF0FF"/>
      <color rgb="FF756B5F"/>
      <color rgb="FF73C4EF"/>
      <color rgb="FFCC0000"/>
      <color rgb="FF003DA5"/>
      <color rgb="FFA6A6A6"/>
      <color rgb="FF305496"/>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sheetMetadata" Target="metadata.xml"/><Relationship Id="rId35"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234950</xdr:colOff>
      <xdr:row>21</xdr:row>
      <xdr:rowOff>19050</xdr:rowOff>
    </xdr:from>
    <xdr:to>
      <xdr:col>14</xdr:col>
      <xdr:colOff>2211387</xdr:colOff>
      <xdr:row>49</xdr:row>
      <xdr:rowOff>123825</xdr:rowOff>
    </xdr:to>
    <xdr:pic>
      <xdr:nvPicPr>
        <xdr:cNvPr id="2" name="Image 1">
          <a:extLst>
            <a:ext uri="{FF2B5EF4-FFF2-40B4-BE49-F238E27FC236}">
              <a16:creationId xmlns:a16="http://schemas.microsoft.com/office/drawing/2014/main" id="{0A2D94C0-9113-4580-AA13-896AAB85E60A}"/>
            </a:ext>
          </a:extLst>
        </xdr:cNvPr>
        <xdr:cNvPicPr>
          <a:picLocks noChangeAspect="1"/>
        </xdr:cNvPicPr>
      </xdr:nvPicPr>
      <xdr:blipFill>
        <a:blip xmlns:r="http://schemas.openxmlformats.org/officeDocument/2006/relationships" r:embed="rId1"/>
        <a:stretch>
          <a:fillRect/>
        </a:stretch>
      </xdr:blipFill>
      <xdr:spPr>
        <a:xfrm>
          <a:off x="10656888" y="3963988"/>
          <a:ext cx="10552112" cy="4926012"/>
        </a:xfrm>
        <a:prstGeom prst="rect">
          <a:avLst/>
        </a:prstGeom>
      </xdr:spPr>
    </xdr:pic>
    <xdr:clientData/>
  </xdr:twoCellAnchor>
  <xdr:twoCellAnchor editAs="oneCell">
    <xdr:from>
      <xdr:col>18</xdr:col>
      <xdr:colOff>0</xdr:colOff>
      <xdr:row>24</xdr:row>
      <xdr:rowOff>0</xdr:rowOff>
    </xdr:from>
    <xdr:to>
      <xdr:col>21</xdr:col>
      <xdr:colOff>121</xdr:colOff>
      <xdr:row>46</xdr:row>
      <xdr:rowOff>75140</xdr:rowOff>
    </xdr:to>
    <xdr:pic>
      <xdr:nvPicPr>
        <xdr:cNvPr id="3" name="Image 2">
          <a:extLst>
            <a:ext uri="{FF2B5EF4-FFF2-40B4-BE49-F238E27FC236}">
              <a16:creationId xmlns:a16="http://schemas.microsoft.com/office/drawing/2014/main" id="{F501CC43-DCAB-B24D-37F7-8E2DD73B61C7}"/>
            </a:ext>
          </a:extLst>
        </xdr:cNvPr>
        <xdr:cNvPicPr>
          <a:picLocks noChangeAspect="1"/>
        </xdr:cNvPicPr>
      </xdr:nvPicPr>
      <xdr:blipFill>
        <a:blip xmlns:r="http://schemas.openxmlformats.org/officeDocument/2006/relationships" r:embed="rId2"/>
        <a:stretch>
          <a:fillRect/>
        </a:stretch>
      </xdr:blipFill>
      <xdr:spPr>
        <a:xfrm>
          <a:off x="24971375" y="4683125"/>
          <a:ext cx="4820323" cy="3781953"/>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Fortier, Kevin" id="{147830CC-A83C-4498-B4A4-20A9CFA6863C}" userId="Kevin.Fortier@ia.ca" providerId="PeoplePicker"/>
  <person displayName="Pratte, Dominic" id="{9DEECFD1-54D2-4A79-8C38-58DBC46C2328}" userId="dominic.pratte@ia.ca" providerId="PeoplePicker"/>
  <person displayName="Jolin, Marco" id="{2CF4B800-CA64-4D04-8032-00B7DE92E429}" userId="S::marco.jolin@ia.ca::4c5b0004-0fb0-4798-a9e7-95d36ac08ad4" providerId="AD"/>
  <person displayName="De Barros Albuquerque, Patrick" id="{6D13A6BF-4DBD-4F34-807C-CBB9BB58A52B}" userId="S::Patrick.De-Barros-Albuquerque@ia.ca::e2fb77e2-0e39-43c5-b153-acfd387c1998"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06583E6B-C62F-41F9-BD18-83D7793E3E66}" autoFormatId="16" applyNumberFormats="0" applyBorderFormats="0" applyFontFormats="0" applyPatternFormats="0" applyAlignmentFormats="0" applyWidthHeightFormats="0">
  <queryTableRefresh nextId="44">
    <queryTableFields count="36">
      <queryTableField id="1" name="SafeguardID" tableColumnId="1"/>
      <queryTableField id="2" name="ControlID" tableColumnId="2"/>
      <queryTableField id="3" name="CIS Control" tableColumnId="3"/>
      <queryTableField id="4" name="AssetTypeEN" tableColumnId="4"/>
      <queryTableField id="5" name="AssetTypeFR" tableColumnId="5"/>
      <queryTableField id="6" name="SecurityFunctionEN" tableColumnId="6"/>
      <queryTableField id="7" name="SecurityFunctionFR" tableColumnId="7"/>
      <queryTableField id="8" name="TitleEN" tableColumnId="8"/>
      <queryTableField id="9" name="TitleFR" tableColumnId="9"/>
      <queryTableField id="10" name="DescriptionEN" tableColumnId="10"/>
      <queryTableField id="11" name="DescriptionFR" tableColumnId="11"/>
      <queryTableField id="12" name="IG1" tableColumnId="12"/>
      <queryTableField id="13" name="IG2" tableColumnId="13"/>
      <queryTableField id="14" name="IG3" tableColumnId="14"/>
      <queryTableField id="42" name="In place" tableColumnId="37"/>
      <queryTableField id="37" name="CommentFR" tableColumnId="20"/>
      <queryTableField id="38" name="CommentEN" tableColumnId="36"/>
      <queryTableField id="15" name="Balise de couleur" tableColumnId="15"/>
      <queryTableField id="16" name="ID de ressource de conformité" tableColumnId="16"/>
      <queryTableField id="17" name="ID" tableColumnId="17"/>
      <queryTableField id="18" name="Type de contenu" tableColumnId="18"/>
      <queryTableField id="21" name="Créé par" tableColumnId="21"/>
      <queryTableField id="22" name="Modifié par" tableColumnId="22"/>
      <queryTableField id="23" name="Version" tableColumnId="23"/>
      <queryTableField id="24" name="Pièces jointes" tableColumnId="24"/>
      <queryTableField id="25" name="Modifier" tableColumnId="25"/>
      <queryTableField id="26" name="Type" tableColumnId="26"/>
      <queryTableField id="27" name="Nombre d'éléments enfants" tableColumnId="27"/>
      <queryTableField id="28" name="Nombre d’enfants du dossier" tableColumnId="28"/>
      <queryTableField id="29" name="Paramètres de l’étiquette" tableColumnId="29"/>
      <queryTableField id="30" name="Étiquette de rétention" tableColumnId="30"/>
      <queryTableField id="31" name="Étiquette de rétention appliquée" tableColumnId="31"/>
      <queryTableField id="32" name="Étiquette appliquée par" tableColumnId="32"/>
      <queryTableField id="33" name="L’élément est un enregistrement" tableColumnId="33"/>
      <queryTableField id="34" name="Application créée par" tableColumnId="34"/>
      <queryTableField id="35" name="Application modifiée par" tableColumnId="3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3BE0F926-3EE7-45ED-8858-54CFE66A049C}" autoFormatId="16" applyNumberFormats="0" applyBorderFormats="0" applyFontFormats="0" applyPatternFormats="0" applyAlignmentFormats="0" applyWidthHeightFormats="0">
  <queryTableRefresh nextId="28">
    <queryTableFields count="25">
      <queryTableField id="1" name="Title" tableColumnId="1"/>
      <queryTableField id="2" name="ControlID" tableColumnId="2"/>
      <queryTableField id="3" name="ControlNameEN" tableColumnId="3"/>
      <queryTableField id="4" name="ControlNameFR" tableColumnId="4"/>
      <queryTableField id="5" name="ControlDescriptionEN" tableColumnId="5"/>
      <queryTableField id="6" name="ControlDescriptionFR" tableColumnId="6"/>
      <queryTableField id="7" name="Balise de couleur" tableColumnId="7"/>
      <queryTableField id="8" name="ID de ressource de conformité" tableColumnId="8"/>
      <queryTableField id="9" name="ID" tableColumnId="9"/>
      <queryTableField id="10" name="Type de contenu" tableColumnId="10"/>
      <queryTableField id="13" name="Créé par" tableColumnId="13"/>
      <queryTableField id="14" name="Modifié par" tableColumnId="14"/>
      <queryTableField id="15" name="Version" tableColumnId="15"/>
      <queryTableField id="16" name="Pièces jointes" tableColumnId="16"/>
      <queryTableField id="17" name="Modifier" tableColumnId="17"/>
      <queryTableField id="18" name="Type" tableColumnId="18"/>
      <queryTableField id="19" name="Nombre d'éléments enfants" tableColumnId="19"/>
      <queryTableField id="20" name="Nombre d’enfants du dossier" tableColumnId="20"/>
      <queryTableField id="21" name="Paramètres de l’étiquette" tableColumnId="21"/>
      <queryTableField id="22" name="Étiquette de rétention" tableColumnId="22"/>
      <queryTableField id="23" name="Étiquette de rétention appliquée" tableColumnId="23"/>
      <queryTableField id="24" name="Étiquette appliquée par" tableColumnId="24"/>
      <queryTableField id="25" name="L’élément est un enregistrement" tableColumnId="25"/>
      <queryTableField id="26" name="Application créée par" tableColumnId="26"/>
      <queryTableField id="27" name="Application modifiée par" tableColumnId="2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4" xr16:uid="{8CE166DB-1A7E-47AB-AE11-4BD9B660337F}" autoFormatId="16" applyNumberFormats="0" applyBorderFormats="0" applyFontFormats="0" applyPatternFormats="0" applyAlignmentFormats="0" applyWidthHeightFormats="0">
  <queryTableRefresh nextId="40">
    <queryTableFields count="29">
      <queryTableField id="32" name="Risk Scenario Title EN" tableColumnId="1"/>
      <queryTableField id="33" name="Risk Scenario Title FR" tableColumnId="2"/>
      <queryTableField id="34" name="Risk Scenario Description EN" tableColumnId="3"/>
      <queryTableField id="35" name="Risk Scenario Description FR" tableColumnId="4"/>
      <queryTableField id="5" name="Taxo Cause EN" tableColumnId="5"/>
      <queryTableField id="6" name="Taxo Cause FR" tableColumnId="6"/>
      <queryTableField id="7" name="Taxo Risk EN" tableColumnId="7"/>
      <queryTableField id="8" name="Taxo Risk FR" tableColumnId="8"/>
      <queryTableField id="9" name="Taxo Impact EN" tableColumnId="9"/>
      <queryTableField id="10" name="Taxo Impact FR" tableColumnId="10"/>
      <queryTableField id="11" name="Balise de couleur" tableColumnId="11"/>
      <queryTableField id="12" name="ID de ressource de conformité" tableColumnId="12"/>
      <queryTableField id="13" name="ID" tableColumnId="13"/>
      <queryTableField id="14" name="Type de contenu" tableColumnId="14"/>
      <queryTableField id="17" name="Créé par" tableColumnId="17"/>
      <queryTableField id="18" name="Modifié par" tableColumnId="18"/>
      <queryTableField id="19" name="Version" tableColumnId="19"/>
      <queryTableField id="20" name="Pièces jointes" tableColumnId="20"/>
      <queryTableField id="21" name="Modifier" tableColumnId="21"/>
      <queryTableField id="22" name="Type" tableColumnId="22"/>
      <queryTableField id="23" name="Nombre d'éléments enfants" tableColumnId="23"/>
      <queryTableField id="24" name="Nombre d’enfants du dossier" tableColumnId="24"/>
      <queryTableField id="25" name="Paramètres de l’étiquette" tableColumnId="25"/>
      <queryTableField id="26" name="Étiquette de rétention" tableColumnId="26"/>
      <queryTableField id="27" name="Étiquette de rétention appliquée" tableColumnId="27"/>
      <queryTableField id="28" name="Étiquette appliquée par" tableColumnId="28"/>
      <queryTableField id="29" name="L’élément est un enregistrement" tableColumnId="29"/>
      <queryTableField id="30" name="Application créée par" tableColumnId="30"/>
      <queryTableField id="31" name="Application modifiée par" tableColumnId="3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3AEC2471-A5FF-47A3-BAC3-9270E8BC0211}" autoFormatId="16" applyNumberFormats="0" applyBorderFormats="0" applyFontFormats="0" applyPatternFormats="0" applyAlignmentFormats="0" applyWidthHeightFormats="0">
  <queryTableRefresh nextId="12">
    <queryTableFields count="11">
      <queryTableField id="1" name="CC_TaxonomieCauses2LDD[Titre]" tableColumnId="1"/>
      <queryTableField id="2" name="CC_TaxonomieCauses2LDD[Causes_N2_FR]" tableColumnId="2"/>
      <queryTableField id="3" name="CC_TaxonomieCauses2LDD[Causes_N3_FR]" tableColumnId="3"/>
      <queryTableField id="4" name="CC_TaxonomieCauses2LDD[Causes_N4_FR]" tableColumnId="4"/>
      <queryTableField id="5" name="CC_TaxonomieCauses2LDD[Lien causes SI]" tableColumnId="5"/>
      <queryTableField id="6" name="CC_TaxonomieCauses2LDD[ID]" tableColumnId="6"/>
      <queryTableField id="7" name="CC_TaxonomieCauses2LDD[Causes_N2_EN]" tableColumnId="7"/>
      <queryTableField id="8" name="CC_TaxonomieCauses2LDD[Cause_N3_EN]" tableColumnId="8"/>
      <queryTableField id="9" name="CC_TaxonomieCauses2LDD[Cause_N4_EN]" tableColumnId="9"/>
      <queryTableField id="10" name="CC_TaxonomieCauses2LDD[Description EN]" tableColumnId="10"/>
      <queryTableField id="11" name="CC_TaxonomieCauses2LDD[Description FR]" tableColumnId="1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6EE8512F-765F-4C0C-8BA1-55B52383447E}" autoFormatId="16" applyNumberFormats="0" applyBorderFormats="0" applyFontFormats="0" applyPatternFormats="0" applyAlignmentFormats="0" applyWidthHeightFormats="0">
  <queryTableRefresh nextId="28">
    <queryTableFields count="27">
      <queryTableField id="1" name="CC_TaxonomieRisques2LDD[N2 - FR]" tableColumnId="1"/>
      <queryTableField id="2" name="CC_TaxonomieRisques2LDD[N2 - EN]" tableColumnId="2"/>
      <queryTableField id="3" name="CC_TaxonomieRisques2LDD[N3 - FR]" tableColumnId="3"/>
      <queryTableField id="4" name="CC_TaxonomieRisques2LDD[N3 - EN]" tableColumnId="4"/>
      <queryTableField id="5" name="CC_TaxonomieRisques2LDD[N4 - FR]" tableColumnId="5"/>
      <queryTableField id="6" name="CC_TaxonomieRisques2LDD[N4 - EN]" tableColumnId="6"/>
      <queryTableField id="7" name="CC_TaxonomieRisques2LDD[Balise de couleur]" tableColumnId="7"/>
      <queryTableField id="8" name="CC_TaxonomieRisques2LDD[ID de ressource de conformité]" tableColumnId="8"/>
      <queryTableField id="9" name="CC_TaxonomieRisques2LDD[Type de contenu]" tableColumnId="9"/>
      <queryTableField id="10" name="CC_TaxonomieRisques2LDD[Modifié]" tableColumnId="10"/>
      <queryTableField id="11" name="CC_TaxonomieRisques2LDD[Créé]" tableColumnId="11"/>
      <queryTableField id="12" name="CC_TaxonomieRisques2LDD[Créé par]" tableColumnId="12"/>
      <queryTableField id="13" name="CC_TaxonomieRisques2LDD[Modifié par]" tableColumnId="13"/>
      <queryTableField id="14" name="CC_TaxonomieRisques2LDD[Version]" tableColumnId="14"/>
      <queryTableField id="15" name="CC_TaxonomieRisques2LDD[Pièces jointes]" tableColumnId="15"/>
      <queryTableField id="16" name="CC_TaxonomieRisques2LDD[Modifier]" tableColumnId="16"/>
      <queryTableField id="17" name="CC_TaxonomieRisques2LDD[Type]" tableColumnId="17"/>
      <queryTableField id="18" name="CC_TaxonomieRisques2LDD[Nombre d'éléments enfants]" tableColumnId="18"/>
      <queryTableField id="19" name="CC_TaxonomieRisques2LDD[Nombre d’enfants du dossier]" tableColumnId="19"/>
      <queryTableField id="20" name="CC_TaxonomieRisques2LDD[Paramètres de l’étiquette]" tableColumnId="20"/>
      <queryTableField id="21" name="CC_TaxonomieRisques2LDD[Étiquette de rétention]" tableColumnId="21"/>
      <queryTableField id="22" name="CC_TaxonomieRisques2LDD[Étiquette de rétention appliquée]" tableColumnId="22"/>
      <queryTableField id="23" name="CC_TaxonomieRisques2LDD[Étiquette appliquée par]" tableColumnId="23"/>
      <queryTableField id="24" name="CC_TaxonomieRisques2LDD[L’élément est un enregistrement]" tableColumnId="24"/>
      <queryTableField id="25" name="CC_TaxonomieRisques2LDD[Application créée par]" tableColumnId="25"/>
      <queryTableField id="26" name="CC_TaxonomieRisques2LDD[Application modifiée par]" tableColumnId="26"/>
      <queryTableField id="27" name="[CountID]" tableColumnId="2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3" xr16:uid="{F446E590-C052-497C-8B36-B32BC631CFB9}" autoFormatId="16" applyNumberFormats="0" applyBorderFormats="0" applyFontFormats="0" applyPatternFormats="0" applyAlignmentFormats="0" applyWidthHeightFormats="0">
  <queryTableRefresh nextId="6">
    <queryTableFields count="5">
      <queryTableField id="1" name="ID_QA" tableColumnId="1"/>
      <queryTableField id="2" name="Location_FR" tableColumnId="2"/>
      <queryTableField id="3" name="Location_EN" tableColumnId="3"/>
      <queryTableField id="4" name="Description_FR" tableColumnId="4"/>
      <queryTableField id="5" name="Description_EN" tableColumnId="5"/>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4D1823E-1512-49E5-BE49-D5516D7ADDED}" name="tbl_Risks" displayName="tbl_Risks" ref="A1:S151" totalsRowShown="0" headerRowDxfId="124" dataDxfId="123">
  <autoFilter ref="A1:S151" xr:uid="{84D1823E-1512-49E5-BE49-D5516D7ADDED}"/>
  <tableColumns count="19">
    <tableColumn id="7" xr3:uid="{726A7B95-32EE-4A27-A64F-DC8AD92DE8C2}" name="Applicabilité_x000a__x000a_Applicability" dataDxfId="122"/>
    <tableColumn id="1" xr3:uid="{8A77BD29-8F43-4C06-9241-551FB9D853E5}" name="Numéro du risque_x000a__x000a_Risk Numbre" dataDxfId="121"/>
    <tableColumn id="3" xr3:uid="{BFE08ABC-523E-4245-99B5-3AB35D4050BF}" name="Titre du Risque_x000a__x000a_Risk Title" dataDxfId="120">
      <calculatedColumnFormula array="1">INDIRECT("tbl_REF_Risques_TDSI[@[Risk Scenario Title "&amp;DocumentLanguage&amp;"]]")</calculatedColumnFormula>
    </tableColumn>
    <tableColumn id="4" xr3:uid="{016A5F85-6EFC-49F2-96F9-B16BE2DD2887}" name="Scénario de Risque_x000a__x000a_Risk Scenario" dataDxfId="119">
      <calculatedColumnFormula array="1">INDIRECT("tbl_REF_Risques_TDSI[@[Risk Scenario Description "&amp;DocumentLanguage&amp;"]]")</calculatedColumnFormula>
    </tableColumn>
    <tableColumn id="11" xr3:uid="{4D5CDE11-5160-4843-A01B-63E7210A0B14}" name="Probabilité Inhérent_x000a__x000a_Inherent Probability" dataDxfId="118"/>
    <tableColumn id="12" xr3:uid="{55C62069-EF1C-478D-932E-E53E0B409EB4}" name="Explication Probabilité Inhérent_x000a__x000a_Inherent Probability Explaination" dataDxfId="117"/>
    <tableColumn id="13" xr3:uid="{68DBDE37-FB7F-4964-8316-E48930E6A876}" name="Impact Inhérent_x000a__x000a_Inherent Impact" dataDxfId="116"/>
    <tableColumn id="14" xr3:uid="{4C67B16B-A397-4E7B-A1C2-A271E0772DDB}" name="Explication Impact Inhérent_x000a__x000a_Inherent Impact Explaination" dataDxfId="115"/>
    <tableColumn id="15" xr3:uid="{7D1151B6-D43F-419E-848A-48664D85553B}" name="Niveau Risque Inhérent_x000a__x000a_Inherent Risk Level" dataDxfId="114">
      <calculatedColumnFormula array="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calculatedColumnFormula>
    </tableColumn>
    <tableColumn id="17" xr3:uid="{1FECF896-0231-488E-9F79-2A0C00357437}" name="Causes_x000a__x000a_Causes" dataDxfId="113">
      <calculatedColumnFormula array="1">INDIRECT("tbl_REF_Risques_TDSI[@[Taxo Cause "&amp;DocumentLanguage&amp;"]]")</calculatedColumnFormula>
    </tableColumn>
    <tableColumn id="18" xr3:uid="{B300E6E0-1A49-4D5B-BE60-00429DAC0946}" name="Risque_x000a__x000a_Risk" dataDxfId="112">
      <calculatedColumnFormula array="1">INDIRECT("tbl_REF_Risques_TDSI[@[Taxo Risk "&amp;DocumentLanguage&amp;"]]")</calculatedColumnFormula>
    </tableColumn>
    <tableColumn id="19" xr3:uid="{449BD66B-3602-498E-AAD9-096C9063E6E5}" name="Impacts_x000a__x000a_Impacts" dataDxfId="111">
      <calculatedColumnFormula array="1">INDIRECT("tbl_REF_Risques_TDSI[@[Taxo Impact "&amp;DocumentLanguage&amp;"]]")</calculatedColumnFormula>
    </tableColumn>
    <tableColumn id="8" xr3:uid="{1D7752C7-DA0B-44D8-9A43-495D1829C405}" name="Controles applicables_x000a__x000a_Applicable controls" dataDxfId="110"/>
    <tableColumn id="10" xr3:uid="{8A2EBE06-53B0-4119-8859-40D4C1BE2C71}" name="Efficacité des controles_x000a__x000a_Controls efficiency" dataDxfId="109">
      <calculatedColumnFormula array="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calculatedColumnFormula>
    </tableColumn>
    <tableColumn id="16" xr3:uid="{62F9BAEB-216C-4B7E-874F-168791D01C0F}" name="Efficacité globale _x000a__x000a_Global efficiency" dataDxfId="108">
      <calculatedColumnFormula array="1">_xlfn.LET(
 _xlpm.raw,_xlfn.TEXTSPLIT(M2,CHAR(10)),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calculatedColumnFormula>
    </tableColumn>
    <tableColumn id="24" xr3:uid="{13325ECB-4643-4D03-8CEB-968D6D0F4293}" name="Justification_x000a__x000a_Justification" dataDxfId="107"/>
    <tableColumn id="27" xr3:uid="{F5E5F2CB-D293-456C-8890-5B0F7F73B805}" name="Risque résiduel_x000a__x000a_Residual risk" dataDxfId="106">
      <calculatedColumnFormula>INDEX(INDIRECT("RiskResid_"&amp;DocumentLanguage),MATCH(tbl_Risks[[#This Row],[Niveau Risque Inhérent
Inherent Risk Level]], INDIRECT("niv_risk_"&amp;DocumentLanguage), 0),MATCH(tbl_Risks[[#This Row],[Efficacité globale 
Global efficiency]], INDIRECT("effglob_"&amp;DocumentLanguage), 0))</calculatedColumnFormula>
    </tableColumn>
    <tableColumn id="22" xr3:uid="{1CB27EDA-98FF-4A1B-8D5A-F567A3DAEF55}" name="Efficacité finale_x000a__x000a_Final efficiency" dataDxfId="105"/>
    <tableColumn id="26" xr3:uid="{833A959A-B2B4-4C26-A83F-9DF5A97BA0DB}" name="Niveau risque final_x000a__x000a_Final Risk Level" dataDxfId="104">
      <calculatedColumnFormula>INDEX(INDIRECT("RiskResid_"&amp;DocumentLanguage),MATCH(tbl_Risks[[#This Row],[Niveau Risque Inhérent
Inherent Risk Level]], INDIRECT("niv_risk_"&amp;DocumentLanguage), 0),MATCH(tbl_Risks[[#This Row],[Efficacité finale
Final efficiency]], INDIRECT("effglob_"&amp;DocumentLanguage), 0))</calculatedColumnFormula>
    </tableColumn>
  </tableColumns>
  <tableStyleInfo name="TableStyleMedium2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C20B9DF-C3AB-4460-8DFE-6E75F0E2AAF2}" name="tbl_Safeguards" displayName="tbl_Safeguards" ref="A1:K154" totalsRowShown="0">
  <autoFilter ref="A1:K154" xr:uid="{8C20B9DF-C3AB-4460-8DFE-6E75F0E2AAF2}">
    <filterColumn colId="5">
      <filters>
        <filter val="a voir avec Ateko"/>
        <filter val="Ateko (valider processus scrub) - NIST 80-88"/>
        <filter val="voir avec Ateko"/>
      </filters>
    </filterColumn>
  </autoFilter>
  <tableColumns count="11">
    <tableColumn id="1" xr3:uid="{E78FAD62-8600-42A2-8680-52FF140AC96C}" name="ID" dataDxfId="103">
      <calculatedColumnFormula>tbl_REF_CIS_Safeguards[[#This Row],[SafeguardID]]</calculatedColumnFormula>
    </tableColumn>
    <tableColumn id="10" xr3:uid="{795CC782-71EF-46C4-8188-41795825FC3D}" name="ControlID" dataDxfId="102">
      <calculatedColumnFormula>tbl_REF_CIS_Safeguards[[#This Row],[ControlID]]</calculatedColumnFormula>
    </tableColumn>
    <tableColumn id="5" xr3:uid="{9E3AD64C-D8C6-4DAF-8E1D-147E91BC3A8D}" name="Contrôle_x000a__x000a_Control" dataDxfId="101">
      <calculatedColumnFormula array="1">_xlfn.XLOOKUP(tbl_Safeguards[[#This Row],[ControlID]],tbl_REF_CIS_Controls[ControlID],INDIRECT("tbl_REF_CIS_Controls[ControlName"&amp;DocumentLanguage&amp;"]"))</calculatedColumnFormula>
    </tableColumn>
    <tableColumn id="2" xr3:uid="{8868563A-60D3-4C02-82EF-B604F74153F4}" name="Nom_x000a__x000a_Name" dataDxfId="100">
      <calculatedColumnFormula array="1">INDIRECT("tbl_REF_CIS_Safeguards[@Title"&amp;DocumentLanguage&amp;"]")</calculatedColumnFormula>
    </tableColumn>
    <tableColumn id="6" xr3:uid="{5C807EB1-9B30-4A9B-B7E0-08F4964F7478}" name="Description_x000a__x000a_Description" dataDxfId="99">
      <calculatedColumnFormula array="1">INDIRECT("tbl_REF_CIS_Safeguards[@Description"&amp;DocumentLanguage&amp;"]")</calculatedColumnFormula>
    </tableColumn>
    <tableColumn id="11" xr3:uid="{C1406424-6377-4648-A5D2-BBA39FA6F7A5}" name="Commentaire SCSI_x000a__x000a_SCSI comments" dataDxfId="98">
      <calculatedColumnFormula array="1">INDIRECT("tbl_REF_CIS_Safeguards[@Comment"&amp;DocumentLanguage&amp;"]")</calculatedColumnFormula>
    </tableColumn>
    <tableColumn id="3" xr3:uid="{FB6020A3-706A-4709-A1BD-619BEFE70F36}" name="En place_x000a__x000a_In place" dataDxfId="97"/>
    <tableColumn id="9" xr3:uid="{353065EA-6E0F-4AA9-8CA7-B55FD399D685}" name="Commentaire LOB_x000a__x000a_LOB Comments" dataDxfId="96"/>
    <tableColumn id="4" xr3:uid="{F36ECD10-C65E-42DC-9FD2-682AA0C08C9C}" name="IG_x000a__x000a_IG" dataDxfId="95">
      <calculatedColumnFormula array="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calculatedColumnFormula>
    </tableColumn>
    <tableColumn id="7" xr3:uid="{F1B312C2-546B-424C-9D90-81822C5A6653}" name="Poid du safeguard_x000a__x000a_Weight per safeguard" dataDxfId="94">
      <calculatedColumnFormula>IF(tbl_Safeguards[[#This Row],[En place
In place]]&lt;&gt;"N/A",_xlfn.XLOOKUP(tbl_Safeguards[[#This Row],[IG
IG]],tbl_safeguardWeightIG[IG],tbl_safeguardWeightIG[Weight]),"")</calculatedColumnFormula>
    </tableColumn>
    <tableColumn id="8" xr3:uid="{A14C620C-4042-4D33-B725-190740ECBFF6}" name="Poid d'implémentation_x000a__x000a_Implementation weight" dataDxfId="93">
      <calculatedColumnFormula array="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calculatedColumnFormula>
    </tableColumn>
  </tableColumns>
  <tableStyleInfo name="TableStyleMedium2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9FCC68E4-590A-4718-9530-C9B461A38249}" name="tbl_Controls" displayName="tbl_Controls" ref="A1:H19" totalsRowShown="0" headerRowDxfId="92" headerRowBorderDxfId="90" tableBorderDxfId="91">
  <autoFilter ref="A1:H19" xr:uid="{9FCC68E4-590A-4718-9530-C9B461A38249}"/>
  <tableColumns count="8">
    <tableColumn id="1" xr3:uid="{0E2F37E6-4CB2-4769-9CCD-2A6DAADB1B6F}" name="ID_x000a__x000a_ID" dataDxfId="89">
      <calculatedColumnFormula>tbl_REF_CIS_Controls[[#This Row],[ControlID]]</calculatedColumnFormula>
    </tableColumn>
    <tableColumn id="2" xr3:uid="{5CCE2436-369E-4687-B477-8C489A5FFF93}" name="Controle_x000a__x000a_Control" dataDxfId="88">
      <calculatedColumnFormula array="1">INDIRECT("tbl_REF_CIS_Controls[@ControlName"&amp;DocumentLanguage&amp;"]")</calculatedColumnFormula>
    </tableColumn>
    <tableColumn id="10" xr3:uid="{5D831D43-8D50-4BA5-9F32-BF7C29427B7F}" name="Efficacité dans l'analyse de risque_x000a__x000a_Efficiency in the risk assessment" dataDxfId="87">
      <calculatedColumnFormula array="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calculatedColumnFormula>
    </tableColumn>
    <tableColumn id="7" xr3:uid="{C2D4132B-0D3C-4CB8-827F-122337347678}" name="Justification_x000a__x000a_Justification"/>
    <tableColumn id="8" xr3:uid="{D123338B-0EBA-4337-8BC4-69778467B195}" name="Taxonomie (cause)_x000a__x000a_Taxonomy (cause)"/>
    <tableColumn id="3" xr3:uid="{B127BFC7-947A-473C-BE5B-732BF6885C23}" name="Poid du controle_x000a__x000a_Control Weight" dataDxfId="86"/>
    <tableColumn id="5" xr3:uid="{E14FA707-4592-4B93-8E82-CF34B5F01F1E}" name="Score du controle_x000a__x000a_Score of controls in Place (Total score)" dataDxfId="85">
      <calculatedColumnFormula array="1">SUM(_xlfn._xlws.FILTER(tbl_Safeguards[Poid d''implémentation
Implementation weight],tbl_Safeguards[ControlID]=tbl_Controls[[#This Row],[ID
ID]]))/SUM(_xlfn._xlws.FILTER(tbl_Safeguards[Poid du safeguard
Weight per safeguard],tbl_Safeguards[ControlID]=tbl_Controls[[#This Row],[ID
ID]]))</calculatedColumnFormula>
    </tableColumn>
    <tableColumn id="9" xr3:uid="{5FCB4188-DFB8-4210-8941-A683E4793FEC}" name="Score pondéré_x000a__x000a_Ponderated Score" dataDxfId="84">
      <calculatedColumnFormula>tbl_Controls[[#This Row],[Score du controle
Score of controls in Place (Total score)]]*tbl_Controls[[#This Row],[Poid du controle
Control Weight]]</calculatedColumnFormula>
    </tableColumn>
  </tableColumns>
  <tableStyleInfo name="TableStyleMedium2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CEC3D6-ECF8-41AC-BC87-ED076CEC628B}" name="tbl_ActionPlan" displayName="tbl_ActionPlan" ref="A1:I26" totalsRowShown="0" dataDxfId="83">
  <autoFilter ref="A1:I26" xr:uid="{72CEC3D6-ECF8-41AC-BC87-ED076CEC628B}"/>
  <tableColumns count="9">
    <tableColumn id="1" xr3:uid="{D9EDC7C1-B007-4C38-8360-EBEBF0EDF707}" name="# du risque_x000a__x000a_Risk #" dataDxfId="82"/>
    <tableColumn id="2" xr3:uid="{46654ED6-9C60-4D5E-AAE0-A77246537492}" name="Nom du plan d'action_x000a__x000a_Action plan name" dataDxfId="81"/>
    <tableColumn id="3" xr3:uid="{C32C6466-378A-49CE-9DF5-2BA5233A7B33}" name="Actions_x000a__x000a_Actions" dataDxfId="80"/>
    <tableColumn id="5" xr3:uid="{1B7DFCE8-DDB6-4DFF-B540-931416320FA0}" name="Liste des évidences_x000a__x000a_List of evidences" dataDxfId="79"/>
    <tableColumn id="4" xr3:uid="{BD4579E1-E28C-439D-8E75-355ECC32E947}" name="Causes mitigées_x000a__x000a_Mitigated causes" dataDxfId="78"/>
    <tableColumn id="9" xr3:uid="{BEE5C67B-9EE0-40E3-B80A-3E10E30BB26D}" name="Priorité_x000a__x000a_Priority" dataDxfId="77"/>
    <tableColumn id="6" xr3:uid="{6748C67E-43E3-4CC5-9FC9-38E3E82D6E27}" name="Propriétaire_x000a__x000a_Owner" dataDxfId="76"/>
    <tableColumn id="7" xr3:uid="{4A9289ED-8AFA-4CA7-ACE8-F937236DABFA}" name="Date de début planifiée_x000a__x000a_Planned start date" dataDxfId="75"/>
    <tableColumn id="8" xr3:uid="{8C879C7A-F50D-487E-BB30-9B190A2D44F0}" name="Date de fin planifiée_x000a__x000a_Planned end date" dataDxfId="74"/>
  </tableColumns>
  <tableStyleInfo name="TableStyleMedium2 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C6FA1A7-DBF2-4B65-B223-CC00C7B83848}" name="tbl_QA" displayName="tbl_QA" ref="A1:E27" totalsRowShown="0" headerRowDxfId="73" dataDxfId="72">
  <autoFilter ref="A1:E27" xr:uid="{3C6FA1A7-DBF2-4B65-B223-CC00C7B83848}"/>
  <tableColumns count="5">
    <tableColumn id="2" xr3:uid="{5078E3A0-54CF-4F2B-A2C9-E43CFFEDF843}" name="Emplacement_x000a__x000a_Location" dataDxfId="71">
      <calculatedColumnFormula array="1">INDIRECT("tbl_REF_Risk_Assessment_QA[@[Location_"&amp;DocumentLanguage&amp;"]]")</calculatedColumnFormula>
    </tableColumn>
    <tableColumn id="3" xr3:uid="{9257F7A3-F5DC-40AA-AD01-E7FF642AD3F9}" name="Description_x000a__x000a_Description" dataDxfId="70">
      <calculatedColumnFormula array="1">INDIRECT("tbl_REF_Risk_Assessment_QA[@[Description_"&amp;DocumentLanguage&amp;"]]")</calculatedColumnFormula>
    </tableColumn>
    <tableColumn id="4" xr3:uid="{A9EF90C5-AC45-4E6B-BEF8-ABC870E0ECBB}" name="Validation_x000a__x000a_Validation" dataDxfId="69"/>
    <tableColumn id="5" xr3:uid="{954B5000-D405-42F6-945A-C43969DDCF51}" name="Date_x000a__x000a_Date" dataDxfId="68"/>
    <tableColumn id="6" xr3:uid="{9CC04014-4901-4ED6-8FEC-C4BB23430800}" name="Réviseur_x000a__x000a_Reviewer" dataDxfId="67"/>
  </tableColumns>
  <tableStyleInfo name="TableStyleMedium2 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F4020FA-AB65-4C42-8AB6-370474661463}" name="tbl_safeguardWeightIG" displayName="tbl_safeguardWeightIG" ref="A21:B24" totalsRowShown="0">
  <autoFilter ref="A21:B24" xr:uid="{5F4020FA-AB65-4C42-8AB6-370474661463}"/>
  <tableColumns count="2">
    <tableColumn id="1" xr3:uid="{D9A0A297-3548-4475-A5BF-3574B4D46890}" name="IG"/>
    <tableColumn id="2" xr3:uid="{7E011D8A-B796-4FC9-BC2B-104CF953EC00}" name="Weight"/>
  </tableColumns>
  <tableStyleInfo name="TableStyleMedium2 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26DD7F-1A33-4718-BD32-A6C0E34B1C14}" name="tbl_REF_CIS_Safeguards" displayName="tbl_REF_CIS_Safeguards" ref="A1:AJ154" tableType="queryTable" totalsRowShown="0">
  <autoFilter ref="A1:AJ154" xr:uid="{6626DD7F-1A33-4718-BD32-A6C0E34B1C14}"/>
  <tableColumns count="36">
    <tableColumn id="1" xr3:uid="{3A359636-5FE3-49B5-BBC6-A67436785DC0}" uniqueName="1" name="SafeguardID" queryTableFieldId="1"/>
    <tableColumn id="2" xr3:uid="{096BC9DE-8195-47FD-98ED-97F53DEC658E}" uniqueName="2" name="ControlID" queryTableFieldId="2"/>
    <tableColumn id="3" xr3:uid="{004B3F13-1B08-4562-91D6-364C0D2DA420}" uniqueName="3" name="CIS Control" queryTableFieldId="3" dataDxfId="66"/>
    <tableColumn id="4" xr3:uid="{CDFA38A4-9362-45D4-993A-98EA190BF4E7}" uniqueName="4" name="AssetTypeEN" queryTableFieldId="4" dataDxfId="65"/>
    <tableColumn id="5" xr3:uid="{41B8F4D7-7341-4A39-9724-AE6DE965DE32}" uniqueName="5" name="AssetTypeFR" queryTableFieldId="5" dataDxfId="64"/>
    <tableColumn id="6" xr3:uid="{1481A4F5-2015-44F4-95AA-19CFB35BE8FC}" uniqueName="6" name="SecurityFunctionEN" queryTableFieldId="6" dataDxfId="63"/>
    <tableColumn id="7" xr3:uid="{B6EFADD5-C776-482D-A05A-F6FF3CE0B0C2}" uniqueName="7" name="SecurityFunctionFR" queryTableFieldId="7" dataDxfId="62"/>
    <tableColumn id="8" xr3:uid="{772163BD-ED86-4FA7-B9AC-88B67060872B}" uniqueName="8" name="TitleEN" queryTableFieldId="8" dataDxfId="61"/>
    <tableColumn id="9" xr3:uid="{1E7F2392-E8A9-4F86-A125-EC10C41308C3}" uniqueName="9" name="TitleFR" queryTableFieldId="9" dataDxfId="60"/>
    <tableColumn id="10" xr3:uid="{77A0E4E1-6811-4945-A9B8-9C6F2517FD05}" uniqueName="10" name="DescriptionEN" queryTableFieldId="10" dataDxfId="59"/>
    <tableColumn id="11" xr3:uid="{343731B1-8DA6-4CBE-8CBF-4BDE3F2962DD}" uniqueName="11" name="DescriptionFR" queryTableFieldId="11" dataDxfId="58"/>
    <tableColumn id="12" xr3:uid="{5A5DB7C3-FA2A-44BF-82AC-319E4478ED08}" uniqueName="12" name="IG1" queryTableFieldId="12" dataDxfId="57"/>
    <tableColumn id="13" xr3:uid="{E6CB2F32-62EF-40D0-8AC7-D549EC0308B6}" uniqueName="13" name="IG2" queryTableFieldId="13" dataDxfId="56"/>
    <tableColumn id="14" xr3:uid="{522B762B-A666-4FCA-8935-ADBF73A8E3F9}" uniqueName="14" name="IG3" queryTableFieldId="14" dataDxfId="55"/>
    <tableColumn id="37" xr3:uid="{B9D0D105-035D-4E6D-9B56-7A7BD1A8CF2B}" uniqueName="37" name="In place" queryTableFieldId="42" dataDxfId="54"/>
    <tableColumn id="20" xr3:uid="{7D15FE48-A882-4CC7-8291-E969B36FEB89}" uniqueName="20" name="CommentFR" queryTableFieldId="37" dataDxfId="53"/>
    <tableColumn id="36" xr3:uid="{C1AB2AF6-5D80-4C0D-98AF-4571E8C97849}" uniqueName="36" name="CommentEN" queryTableFieldId="38" dataDxfId="52"/>
    <tableColumn id="15" xr3:uid="{E4D65FBC-415D-4F47-982F-37DF56993B07}" uniqueName="15" name="Balise de couleur" queryTableFieldId="15" dataDxfId="51"/>
    <tableColumn id="16" xr3:uid="{EDD7F295-E67E-423F-B725-0AF1D1468FBE}" uniqueName="16" name="ID de ressource de conformité" queryTableFieldId="16" dataDxfId="50"/>
    <tableColumn id="17" xr3:uid="{1FCB4606-93D9-4C3A-B5C1-6272C2236CDE}" uniqueName="17" name="ID" queryTableFieldId="17"/>
    <tableColumn id="18" xr3:uid="{823F219E-4882-48EE-A441-D19279440243}" uniqueName="18" name="Type de contenu" queryTableFieldId="18"/>
    <tableColumn id="21" xr3:uid="{21BEE678-A729-4A8A-A24A-4D322193B677}" uniqueName="21" name="Créé par" queryTableFieldId="21"/>
    <tableColumn id="22" xr3:uid="{C6E39019-C64F-4CBE-A7FA-EA9241CD5E67}" uniqueName="22" name="Modifié par" queryTableFieldId="22"/>
    <tableColumn id="23" xr3:uid="{CC6B1A8A-C5B9-4906-B305-ED157D94CB72}" uniqueName="23" name="Version" queryTableFieldId="23" dataDxfId="49"/>
    <tableColumn id="24" xr3:uid="{B344C4A0-C0BB-4EC7-903E-B0DEB941325C}" uniqueName="24" name="Pièces jointes" queryTableFieldId="24" dataDxfId="48"/>
    <tableColumn id="25" xr3:uid="{F3B23A32-B348-4607-AFB8-97D4E8CC6A21}" uniqueName="25" name="Modifier" queryTableFieldId="25"/>
    <tableColumn id="26" xr3:uid="{4FAFBAD6-AEA6-433C-BEE3-D8C033F6F164}" uniqueName="26" name="Type" queryTableFieldId="26"/>
    <tableColumn id="27" xr3:uid="{66DC2FAA-6533-478C-A419-9FB0DAF42076}" uniqueName="27" name="Nombre d'éléments enfants" queryTableFieldId="27"/>
    <tableColumn id="28" xr3:uid="{6F300A7E-2015-422F-852D-C4B530373197}" uniqueName="28" name="Nombre d’enfants du dossier" queryTableFieldId="28"/>
    <tableColumn id="29" xr3:uid="{5D077103-81C4-49CB-A1CD-ECB44DD7736F}" uniqueName="29" name="Paramètres de l’étiquette" queryTableFieldId="29"/>
    <tableColumn id="30" xr3:uid="{0CDB2E75-48C8-4C63-BAB2-111C5BCBE0D0}" uniqueName="30" name="Étiquette de rétention" queryTableFieldId="30"/>
    <tableColumn id="31" xr3:uid="{38E2959D-EC7E-4BE6-B930-F6821B0D77CB}" uniqueName="31" name="Étiquette de rétention appliquée" queryTableFieldId="31"/>
    <tableColumn id="32" xr3:uid="{D645F0B2-CF5C-4188-85BF-810FEEF8BDC7}" uniqueName="32" name="Étiquette appliquée par" queryTableFieldId="32"/>
    <tableColumn id="33" xr3:uid="{EA139245-C795-43B6-A16C-E548320AE172}" uniqueName="33" name="L’élément est un enregistrement" queryTableFieldId="33"/>
    <tableColumn id="34" xr3:uid="{EA1EC026-55A7-45DB-B959-0102523CA6CE}" uniqueName="34" name="Application créée par" queryTableFieldId="34"/>
    <tableColumn id="35" xr3:uid="{CFD1FD57-DC80-4FAB-BCFB-6F53FD571BB2}" uniqueName="35" name="Application modifiée par" queryTableFieldId="3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B1BD045-AD5C-422B-B6A8-932374268FA2}" name="tbl_REF_CIS_Controls" displayName="tbl_REF_CIS_Controls" ref="A1:Y19" tableType="queryTable" totalsRowShown="0">
  <autoFilter ref="A1:Y19" xr:uid="{1B1BD045-AD5C-422B-B6A8-932374268FA2}"/>
  <tableColumns count="25">
    <tableColumn id="1" xr3:uid="{17D8CF26-B6FA-4C2C-91B2-0DDADE8F6546}" uniqueName="1" name="Title" queryTableFieldId="1"/>
    <tableColumn id="2" xr3:uid="{5075BC5C-6563-48B3-8FB0-9F147954D221}" uniqueName="2" name="ControlID" queryTableFieldId="2"/>
    <tableColumn id="3" xr3:uid="{C964B977-4B43-4601-88CE-1428B03E3685}" uniqueName="3" name="ControlNameEN" queryTableFieldId="3" dataDxfId="47"/>
    <tableColumn id="4" xr3:uid="{C02AC722-9D6C-4A52-A433-AB9E7D2E252E}" uniqueName="4" name="ControlNameFR" queryTableFieldId="4" dataDxfId="46"/>
    <tableColumn id="5" xr3:uid="{67C77C8C-A7BD-49E2-85BA-FB2DFD5F76CF}" uniqueName="5" name="ControlDescriptionEN" queryTableFieldId="5" dataDxfId="45"/>
    <tableColumn id="6" xr3:uid="{1B155336-546F-4784-8C9C-AE63BFF945C0}" uniqueName="6" name="ControlDescriptionFR" queryTableFieldId="6" dataDxfId="44"/>
    <tableColumn id="7" xr3:uid="{A88DDD7D-5E57-4B64-84D6-859A57A2FA24}" uniqueName="7" name="Balise de couleur" queryTableFieldId="7" dataDxfId="43"/>
    <tableColumn id="8" xr3:uid="{5B6DAF6C-8665-48D9-8A1F-5B2718DB340C}" uniqueName="8" name="ID de ressource de conformité" queryTableFieldId="8" dataDxfId="42"/>
    <tableColumn id="9" xr3:uid="{96C83DEF-2DDF-4ADC-ABE5-47842B8BB802}" uniqueName="9" name="ID" queryTableFieldId="9"/>
    <tableColumn id="10" xr3:uid="{B093CC13-B9AB-43B2-82A0-2C338D6F9DDC}" uniqueName="10" name="Type de contenu" queryTableFieldId="10"/>
    <tableColumn id="13" xr3:uid="{695AABC8-E253-4CC9-8280-CD5BD027EB5C}" uniqueName="13" name="Créé par" queryTableFieldId="13"/>
    <tableColumn id="14" xr3:uid="{078BE73C-C86B-42D1-8D2E-C9449FED0B0F}" uniqueName="14" name="Modifié par" queryTableFieldId="14"/>
    <tableColumn id="15" xr3:uid="{59758964-DF51-4B7B-AAD5-8BEDB9739B92}" uniqueName="15" name="Version" queryTableFieldId="15" dataDxfId="41"/>
    <tableColumn id="16" xr3:uid="{06450F8A-0A9B-46F6-A2BC-893934F0E201}" uniqueName="16" name="Pièces jointes" queryTableFieldId="16" dataDxfId="40"/>
    <tableColumn id="17" xr3:uid="{6DFBB0A7-9094-46F6-B6F2-F8B8566DA7B8}" uniqueName="17" name="Modifier" queryTableFieldId="17"/>
    <tableColumn id="18" xr3:uid="{DC2B3B8C-BA04-4FB5-96C4-874B8C2DBA09}" uniqueName="18" name="Type" queryTableFieldId="18"/>
    <tableColumn id="19" xr3:uid="{482E3366-C8D5-42E5-A76E-777484DA7611}" uniqueName="19" name="Nombre d'éléments enfants" queryTableFieldId="19"/>
    <tableColumn id="20" xr3:uid="{D7190F02-9124-43AA-BD5F-C27823ADF9A0}" uniqueName="20" name="Nombre d’enfants du dossier" queryTableFieldId="20"/>
    <tableColumn id="21" xr3:uid="{16681C2F-F771-465D-AA36-73F331E7B635}" uniqueName="21" name="Paramètres de l’étiquette" queryTableFieldId="21"/>
    <tableColumn id="22" xr3:uid="{76DA44B2-C356-4696-8168-8BCC65479C80}" uniqueName="22" name="Étiquette de rétention" queryTableFieldId="22"/>
    <tableColumn id="23" xr3:uid="{E61C8AB0-1499-4B6C-8CFD-E37E40591262}" uniqueName="23" name="Étiquette de rétention appliquée" queryTableFieldId="23"/>
    <tableColumn id="24" xr3:uid="{2CB92CD1-13F7-4F57-B8A3-7EBD2EC9A260}" uniqueName="24" name="Étiquette appliquée par" queryTableFieldId="24"/>
    <tableColumn id="25" xr3:uid="{8DC8D19C-E210-4216-87DA-1C567F1AC48E}" uniqueName="25" name="L’élément est un enregistrement" queryTableFieldId="25"/>
    <tableColumn id="26" xr3:uid="{223A11CC-ABBD-422E-8A5E-CD31B770392D}" uniqueName="26" name="Application créée par" queryTableFieldId="26"/>
    <tableColumn id="27" xr3:uid="{625E8B59-C320-4F64-9702-29B195F12B3B}" uniqueName="27" name="Application modifiée par" queryTableFieldId="27"/>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B7ACB8A-5BCC-419D-B854-A5C29A3CAE18}" name="tbl_REF_Risques_TDSI" displayName="tbl_REF_Risques_TDSI" ref="A1:AC7" tableType="queryTable" totalsRowShown="0">
  <autoFilter ref="A1:AC7" xr:uid="{DB7ACB8A-5BCC-419D-B854-A5C29A3CAE18}"/>
  <tableColumns count="29">
    <tableColumn id="1" xr3:uid="{194D453E-2EA5-484E-9259-A85C4808416A}" uniqueName="1" name="Risk Scenario Title EN" queryTableFieldId="32"/>
    <tableColumn id="2" xr3:uid="{FE8CCE7F-23D9-49D3-916A-6467ECCF645B}" uniqueName="2" name="Risk Scenario Title FR" queryTableFieldId="33" dataDxfId="39"/>
    <tableColumn id="3" xr3:uid="{F82763EE-570C-4EC7-9C69-8135DB7F5AB7}" uniqueName="3" name="Risk Scenario Description EN" queryTableFieldId="34" dataDxfId="38"/>
    <tableColumn id="4" xr3:uid="{C2F69291-8B5E-42EE-A5C5-A9147953BEF4}" uniqueName="4" name="Risk Scenario Description FR" queryTableFieldId="35" dataDxfId="37"/>
    <tableColumn id="5" xr3:uid="{C75F0DB7-2A1B-49B3-ABE6-A5AFBCD45A04}" uniqueName="5" name="Taxo Cause EN" queryTableFieldId="5" dataDxfId="36"/>
    <tableColumn id="6" xr3:uid="{25CC6465-CDF4-40A7-A0D4-75376B55C504}" uniqueName="6" name="Taxo Cause FR" queryTableFieldId="6" dataDxfId="35"/>
    <tableColumn id="7" xr3:uid="{A8658DA7-6623-477C-B62E-102DBF078861}" uniqueName="7" name="Taxo Risk EN" queryTableFieldId="7" dataDxfId="34"/>
    <tableColumn id="8" xr3:uid="{A2573E21-1B7F-4BA8-BB2F-B4EED2AFE5C4}" uniqueName="8" name="Taxo Risk FR" queryTableFieldId="8" dataDxfId="33"/>
    <tableColumn id="9" xr3:uid="{D997364A-537E-465A-B76D-0FC66D55A792}" uniqueName="9" name="Taxo Impact EN" queryTableFieldId="9" dataDxfId="32"/>
    <tableColumn id="10" xr3:uid="{A7235238-7864-4A2C-92BF-87E6119D686D}" uniqueName="10" name="Taxo Impact FR" queryTableFieldId="10" dataDxfId="31"/>
    <tableColumn id="11" xr3:uid="{54083A3A-B525-4552-9D88-5247C70EE952}" uniqueName="11" name="Balise de couleur" queryTableFieldId="11" dataDxfId="30"/>
    <tableColumn id="12" xr3:uid="{26C6B37A-B833-43A1-B9F2-A60727B7E554}" uniqueName="12" name="ID de ressource de conformité" queryTableFieldId="12" dataDxfId="29"/>
    <tableColumn id="13" xr3:uid="{3F348719-CA0D-4CE0-A9FB-D7DEC44ED994}" uniqueName="13" name="ID" queryTableFieldId="13"/>
    <tableColumn id="14" xr3:uid="{AB5BD455-17B4-4D3C-9B02-1258475406F5}" uniqueName="14" name="Type de contenu" queryTableFieldId="14"/>
    <tableColumn id="17" xr3:uid="{4B08E963-E708-4D55-9853-94F17215BF27}" uniqueName="17" name="Créé par" queryTableFieldId="17"/>
    <tableColumn id="18" xr3:uid="{B67E2924-64FD-4F97-8AAF-2F156172A897}" uniqueName="18" name="Modifié par" queryTableFieldId="18"/>
    <tableColumn id="19" xr3:uid="{70CCDE51-1861-4E76-AF15-8FDCDA88654A}" uniqueName="19" name="Version" queryTableFieldId="19" dataDxfId="28"/>
    <tableColumn id="20" xr3:uid="{11EC9D8F-77BE-4E25-AF06-89814BAC7A48}" uniqueName="20" name="Pièces jointes" queryTableFieldId="20" dataDxfId="27"/>
    <tableColumn id="21" xr3:uid="{E69987DD-2664-471E-B75D-F55463182970}" uniqueName="21" name="Modifier" queryTableFieldId="21"/>
    <tableColumn id="22" xr3:uid="{23BE2518-3015-42F0-B049-E3CFEC1517B9}" uniqueName="22" name="Type" queryTableFieldId="22"/>
    <tableColumn id="23" xr3:uid="{CE1C41CF-0464-4955-984F-04B4AA2A6A6C}" uniqueName="23" name="Nombre d'éléments enfants" queryTableFieldId="23"/>
    <tableColumn id="24" xr3:uid="{68CBED6B-72BF-4E23-A6CE-3274045357E9}" uniqueName="24" name="Nombre d’enfants du dossier" queryTableFieldId="24"/>
    <tableColumn id="25" xr3:uid="{8CD692A7-4F81-4C7E-ABE8-060B48204DF9}" uniqueName="25" name="Paramètres de l’étiquette" queryTableFieldId="25"/>
    <tableColumn id="26" xr3:uid="{9A19054C-D765-4F6F-BB2E-CA5C4DC578A7}" uniqueName="26" name="Étiquette de rétention" queryTableFieldId="26"/>
    <tableColumn id="27" xr3:uid="{C45B6AD9-1CB7-4208-A1E2-3D39F10EE5E3}" uniqueName="27" name="Étiquette de rétention appliquée" queryTableFieldId="27"/>
    <tableColumn id="28" xr3:uid="{7A506135-AA4F-466A-9EA3-89EC8D815032}" uniqueName="28" name="Étiquette appliquée par" queryTableFieldId="28"/>
    <tableColumn id="29" xr3:uid="{2A465A3C-C0AE-492C-A241-A226D3F5B10E}" uniqueName="29" name="L’élément est un enregistrement" queryTableFieldId="29"/>
    <tableColumn id="30" xr3:uid="{86EF8752-754F-4580-9859-E087BCAF681F}" uniqueName="30" name="Application créée par" queryTableFieldId="30"/>
    <tableColumn id="31" xr3:uid="{A7E26DF1-CD1C-454E-9BC1-247C8F5E2506}" uniqueName="31" name="Application modifiée par"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44AF55D-6FAC-4591-8A79-AC5F733AD958}" name="tbl_REF_TaxoCause" displayName="tbl_REF_TaxoCause" ref="A1:K58" tableType="queryTable" totalsRowShown="0">
  <autoFilter ref="A1:K58" xr:uid="{844AF55D-6FAC-4591-8A79-AC5F733AD958}"/>
  <sortState xmlns:xlrd2="http://schemas.microsoft.com/office/spreadsheetml/2017/richdata2" ref="A2:K58">
    <sortCondition ref="C1:C58"/>
  </sortState>
  <tableColumns count="11">
    <tableColumn id="1" xr3:uid="{9025EB3D-47E8-4C99-89D8-C8A5F50A2CDC}" uniqueName="1" name="CC_TaxonomieCauses2LDD[Titre]" queryTableFieldId="1"/>
    <tableColumn id="2" xr3:uid="{5F3862DF-A935-4071-AC26-E4AE2B6A3C2A}" uniqueName="2" name="CC_TaxonomieCauses2LDD[Causes_N2_FR]" queryTableFieldId="2"/>
    <tableColumn id="3" xr3:uid="{5DE14007-70DB-41D5-AC3D-36D9BD28E708}" uniqueName="3" name="CC_TaxonomieCauses2LDD[Causes_N3_FR]" queryTableFieldId="3"/>
    <tableColumn id="4" xr3:uid="{64EC1DB3-6F87-4EE5-8160-98C1F4664C16}" uniqueName="4" name="CC_TaxonomieCauses2LDD[Causes_N4_FR]" queryTableFieldId="4"/>
    <tableColumn id="5" xr3:uid="{F0720916-A2FE-43E2-A0FF-010CF3488302}" uniqueName="5" name="CC_TaxonomieCauses2LDD[Lien causes SI]" queryTableFieldId="5"/>
    <tableColumn id="6" xr3:uid="{83D25CBB-5D9B-4CE5-BA6C-A8CD2A4DAE3A}" uniqueName="6" name="CC_TaxonomieCauses2LDD[ID]" queryTableFieldId="6"/>
    <tableColumn id="7" xr3:uid="{D9BFD4DF-3FC7-4BE4-B7A0-3496EBBEC34B}" uniqueName="7" name="CC_TaxonomieCauses2LDD[Causes_N2_EN]" queryTableFieldId="7"/>
    <tableColumn id="8" xr3:uid="{3F0918A3-D363-4E45-9240-42B2F4C650D7}" uniqueName="8" name="CC_TaxonomieCauses2LDD[Cause_N3_EN]" queryTableFieldId="8"/>
    <tableColumn id="9" xr3:uid="{17D9AB45-87B1-4E96-BE3D-1017B7CAAFA8}" uniqueName="9" name="CC_TaxonomieCauses2LDD[Cause_N4_EN]" queryTableFieldId="9"/>
    <tableColumn id="10" xr3:uid="{D8CD04E6-93B3-465D-A3C9-71628B8618B0}" uniqueName="10" name="CC_TaxonomieCauses2LDD[Description EN]" queryTableFieldId="10"/>
    <tableColumn id="11" xr3:uid="{7636A109-2757-4AC1-960D-32E90985A7B3}" uniqueName="11" name="CC_TaxonomieCauses2LDD[Description FR]" queryTableFieldId="11"/>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E53544E-1A9E-4BC0-9E3C-B1D51EB6AF80}" name="tbl_REF_TaxoRisk" displayName="tbl_REF_TaxoRisk" ref="A1:AA23" tableType="queryTable" totalsRowShown="0">
  <autoFilter ref="A1:AA23" xr:uid="{EE53544E-1A9E-4BC0-9E3C-B1D51EB6AF80}"/>
  <tableColumns count="27">
    <tableColumn id="1" xr3:uid="{2BB9DA69-44AC-48DB-80F0-152F1891B15B}" uniqueName="1" name="CC_TaxonomieRisques2LDD[N2 - FR]" queryTableFieldId="1"/>
    <tableColumn id="2" xr3:uid="{8FB5FA17-48E7-49D0-B9FE-F116DD100EF6}" uniqueName="2" name="CC_TaxonomieRisques2LDD[N2 - EN]" queryTableFieldId="2"/>
    <tableColumn id="3" xr3:uid="{F4BA4B6A-BF7E-4AC6-A788-73D9F9EA1DCD}" uniqueName="3" name="CC_TaxonomieRisques2LDD[N3 - FR]" queryTableFieldId="3"/>
    <tableColumn id="4" xr3:uid="{2C55EA1D-63A6-4F32-9C45-41AAD264E7C5}" uniqueName="4" name="CC_TaxonomieRisques2LDD[N3 - EN]" queryTableFieldId="4"/>
    <tableColumn id="5" xr3:uid="{18B37144-42CB-4C70-9C5E-6CFB51298822}" uniqueName="5" name="CC_TaxonomieRisques2LDD[N4 - FR]" queryTableFieldId="5"/>
    <tableColumn id="6" xr3:uid="{74A4FE1D-28EC-4EAD-A474-9617557D37A8}" uniqueName="6" name="CC_TaxonomieRisques2LDD[N4 - EN]" queryTableFieldId="6"/>
    <tableColumn id="7" xr3:uid="{06B4C0B0-6494-45A4-998E-21C543AB1A41}" uniqueName="7" name="CC_TaxonomieRisques2LDD[Balise de couleur]" queryTableFieldId="7"/>
    <tableColumn id="8" xr3:uid="{78848ACB-EEC0-4C60-B617-E0C019F5DDD5}" uniqueName="8" name="CC_TaxonomieRisques2LDD[ID de ressource de conformité]" queryTableFieldId="8"/>
    <tableColumn id="9" xr3:uid="{FF63662F-B8EF-408F-A03C-7687D5E20103}" uniqueName="9" name="CC_TaxonomieRisques2LDD[Type de contenu]" queryTableFieldId="9"/>
    <tableColumn id="10" xr3:uid="{8C56C3D0-2E0F-4FE2-B818-472C12EB6541}" uniqueName="10" name="CC_TaxonomieRisques2LDD[Modifié]" queryTableFieldId="10" dataDxfId="26"/>
    <tableColumn id="11" xr3:uid="{1A6D1DBC-335C-44C3-97EA-8CDB07F77547}" uniqueName="11" name="CC_TaxonomieRisques2LDD[Créé]" queryTableFieldId="11" dataDxfId="25"/>
    <tableColumn id="12" xr3:uid="{9D11D7C7-FC98-49CA-A275-AF565483548D}" uniqueName="12" name="CC_TaxonomieRisques2LDD[Créé par]" queryTableFieldId="12"/>
    <tableColumn id="13" xr3:uid="{250B1CD7-5E06-4434-B7B4-D0EA7A1B6B7B}" uniqueName="13" name="CC_TaxonomieRisques2LDD[Modifié par]" queryTableFieldId="13"/>
    <tableColumn id="14" xr3:uid="{F4817587-8114-4F1E-9885-D4DA8B7EF7A0}" uniqueName="14" name="CC_TaxonomieRisques2LDD[Version]" queryTableFieldId="14"/>
    <tableColumn id="15" xr3:uid="{1D23D742-8953-4396-BA4B-8F580BD4443E}" uniqueName="15" name="CC_TaxonomieRisques2LDD[Pièces jointes]" queryTableFieldId="15"/>
    <tableColumn id="16" xr3:uid="{97AFEE97-4CC8-4FB3-9D05-C0EEA189E552}" uniqueName="16" name="CC_TaxonomieRisques2LDD[Modifier]" queryTableFieldId="16"/>
    <tableColumn id="17" xr3:uid="{AA8DABFF-25DA-4EE2-9347-81A2EE83BF85}" uniqueName="17" name="CC_TaxonomieRisques2LDD[Type]" queryTableFieldId="17"/>
    <tableColumn id="18" xr3:uid="{FFE09321-D524-46BB-9373-F54171537132}" uniqueName="18" name="CC_TaxonomieRisques2LDD[Nombre d'éléments enfants]" queryTableFieldId="18"/>
    <tableColumn id="19" xr3:uid="{838EAB3C-3F63-400C-A3E4-47836AB49AD4}" uniqueName="19" name="CC_TaxonomieRisques2LDD[Nombre d’enfants du dossier]" queryTableFieldId="19"/>
    <tableColumn id="20" xr3:uid="{ABADDF2C-106A-4C27-BD26-1DA68E5147F2}" uniqueName="20" name="CC_TaxonomieRisques2LDD[Paramètres de l’étiquette]" queryTableFieldId="20"/>
    <tableColumn id="21" xr3:uid="{6FA3BE14-A772-4C6C-96E3-82EA9767F032}" uniqueName="21" name="CC_TaxonomieRisques2LDD[Étiquette de rétention]" queryTableFieldId="21"/>
    <tableColumn id="22" xr3:uid="{5A2CDA7D-8404-4E2B-822D-0D225CBA0415}" uniqueName="22" name="CC_TaxonomieRisques2LDD[Étiquette de rétention appliquée]" queryTableFieldId="22"/>
    <tableColumn id="23" xr3:uid="{681CC7C0-646A-4FD8-AAEE-0482EE9A995E}" uniqueName="23" name="CC_TaxonomieRisques2LDD[Étiquette appliquée par]" queryTableFieldId="23"/>
    <tableColumn id="24" xr3:uid="{2C6C6FC3-5563-408D-9B78-0F174B7B6221}" uniqueName="24" name="CC_TaxonomieRisques2LDD[L’élément est un enregistrement]" queryTableFieldId="24"/>
    <tableColumn id="25" xr3:uid="{7348D0E6-AFC0-43E1-BE0D-32FD1C136042}" uniqueName="25" name="CC_TaxonomieRisques2LDD[Application créée par]" queryTableFieldId="25"/>
    <tableColumn id="26" xr3:uid="{F177A131-0FB5-495A-B2A1-2AFA3970ABE0}" uniqueName="26" name="CC_TaxonomieRisques2LDD[Application modifiée par]" queryTableFieldId="26"/>
    <tableColumn id="27" xr3:uid="{09E62146-C11C-4939-B5B4-16DBACA149A0}" uniqueName="27" name="[CountID]" queryTableFieldId="2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DA6C089-D32C-4C01-9530-061B167F6691}" name="tbl_REF_Risk_Assessment_QA" displayName="tbl_REF_Risk_Assessment_QA" ref="A1:E27" tableType="queryTable" totalsRowShown="0">
  <autoFilter ref="A1:E27" xr:uid="{EDA6C089-D32C-4C01-9530-061B167F6691}"/>
  <tableColumns count="5">
    <tableColumn id="1" xr3:uid="{BDCBB567-F215-4C4A-9B2A-CCAF6821FA77}" uniqueName="1" name="ID_QA" queryTableFieldId="1"/>
    <tableColumn id="2" xr3:uid="{0B34A1D0-D1FD-434C-9A02-150E481825E1}" uniqueName="2" name="Location_FR" queryTableFieldId="2" dataDxfId="24"/>
    <tableColumn id="3" xr3:uid="{5DE621E8-EDFC-4C5B-9C83-4F82C98E6234}" uniqueName="3" name="Location_EN" queryTableFieldId="3" dataDxfId="23"/>
    <tableColumn id="4" xr3:uid="{DE733C90-C1A6-4281-B8ED-91139ED04EC0}" uniqueName="4" name="Description_FR" queryTableFieldId="4" dataDxfId="22"/>
    <tableColumn id="5" xr3:uid="{5C2A7D48-274E-493A-AA9D-E8977E0980B1}" uniqueName="5" name="Description_EN" queryTableFieldId="5" dataDxfId="21"/>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A837FAF-D5A8-4F6C-9F31-7AE88E017039}" name="tbl_Recommendation" displayName="tbl_Recommendation" ref="A1:K275" totalsRowShown="0" headerRowDxfId="20" headerRowBorderDxfId="18" tableBorderDxfId="19">
  <autoFilter ref="A1:K275" xr:uid="{AA837FAF-D5A8-4F6C-9F31-7AE88E017039}"/>
  <tableColumns count="11">
    <tableColumn id="1" xr3:uid="{9527D59B-567D-4A86-8185-6495575D345C}" name="ID_x000a_ID" dataDxfId="17"/>
    <tableColumn id="2" xr3:uid="{27CD9396-352D-4DC5-9BC5-7FF5A3D5E809}" name="Langue_x000a_Language" dataDxfId="16"/>
    <tableColumn id="6" xr3:uid="{83B05821-D541-4B43-9454-C451D5BF407F}" name="Portée_x000a_Scope" dataDxfId="15"/>
    <tableColumn id="7" xr3:uid="{2F901890-21F7-4837-8DF0-0BEBE1994427}" name="Élément de solution_x000a_Solution Element" dataDxfId="14"/>
    <tableColumn id="8" xr3:uid="{EBA6813F-73B6-447E-9623-831C5F96AFDA}" name="Recommandations - Tâches_x000a_Recommendations - Tasks" dataDxfId="13"/>
    <tableColumn id="9" xr3:uid="{47602F62-198B-4229-B02B-3E3E3D423ADA}" name="Liste des évidences_x000a_List of evidences" dataDxfId="12"/>
    <tableColumn id="10" xr3:uid="{D5FBF386-6A1A-4D7B-AA26-2BCA689CF6AC}" name="Facilitateur de l'implémentation_x000a_Implentation Enabler" dataDxfId="11"/>
    <tableColumn id="11" xr3:uid="{A7697A21-4D78-43A0-B951-1C2DC4E26860}" name="Statut de la mitigation_x000a_Mitigation status" dataDxfId="10"/>
    <tableColumn id="12" xr3:uid="{AAD43376-1FEE-4FD8-86DD-DCB67E87D602}" name="Notes_x000a_Notes" dataDxfId="9"/>
    <tableColumn id="13" xr3:uid="{985D60E5-936E-40EF-8D72-541ED7DDA80A}" name="# de menace_x000a_Threat #" dataDxfId="8"/>
    <tableColumn id="14" xr3:uid="{02A49C6E-CEE6-48B6-B53D-007B1516DDBD}" name="ID de la norme_x000a_Standard ID"/>
  </tableColumns>
  <tableStyleInfo name="TableStyleMedium2 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88AE37D-B912-451D-8427-023A573F31B7}" name="VersionHistory" displayName="VersionHistory" ref="A1:D29" totalsRowShown="0" dataDxfId="7" headerRowBorderDxfId="5" tableBorderDxfId="6" totalsRowBorderDxfId="4">
  <autoFilter ref="A1:D29" xr:uid="{688AE37D-B912-451D-8427-023A573F31B7}"/>
  <tableColumns count="4">
    <tableColumn id="1" xr3:uid="{009E301E-7E23-4052-8CC2-F76AA97DFE04}" name="Date" dataDxfId="3"/>
    <tableColumn id="2" xr3:uid="{E50E8E68-1E73-4701-A4CF-ACD9D23D90D2}" name="Responsable" dataDxfId="2"/>
    <tableColumn id="3" xr3:uid="{63C5CBB1-A9D2-4DC8-860E-528D5323125E}" name="Version" dataDxfId="1"/>
    <tableColumn id="4" xr3:uid="{AF841B57-F114-4DCC-AFED-8D7C84AC3CF1}" name="Modifications" dataDxfId="0"/>
  </tableColumns>
  <tableStyleInfo name="TableStyleMedium2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49" dT="2026-01-22T18:06:56.51" personId="{6D13A6BF-4DBD-4F34-807C-CBB9BB58A52B}" id="{2C642192-7C15-4EF4-BCDC-3178C0F5DF80}">
    <text>@Pratte, Dominic @Fortier, Kevin Je dirais que c’est contrôle doit être documenté comme contrôle en place.</text>
    <mentions>
      <mention mentionpersonId="{9DEECFD1-54D2-4A79-8C38-58DBC46C2328}" mentionId="{5D2E0D4E-E684-4D33-8939-C40B68683B0C}" startIndex="0" length="16"/>
      <mention mentionpersonId="{147830CC-A83C-4498-B4A4-20A9CFA6863C}" mentionId="{CB8E48F0-B56C-4A6F-A650-CED2CB6FFD32}" startIndex="17" length="15"/>
    </mentions>
  </threadedComment>
  <threadedComment ref="H54" dT="2026-01-22T15:45:21.28" personId="{6D13A6BF-4DBD-4F34-807C-CBB9BB58A52B}" id="{F6EEB50B-FA65-41D7-A9D9-33E6F8D65E30}">
    <text xml:space="preserve">@Fortier, Kevin @Pratte, Dominic </text>
    <mentions>
      <mention mentionpersonId="{147830CC-A83C-4498-B4A4-20A9CFA6863C}" mentionId="{F8C2EF7E-FBE7-44B4-A93C-618592D0C156}" startIndex="0" length="15"/>
      <mention mentionpersonId="{9DEECFD1-54D2-4A79-8C38-58DBC46C2328}" mentionId="{F3C7BFE2-7FD5-4EB6-9396-3F94FDC733EF}" startIndex="16" length="16"/>
    </mentions>
  </threadedComment>
</ThreadedComments>
</file>

<file path=xl/threadedComments/threadedComment2.xml><?xml version="1.0" encoding="utf-8"?>
<ThreadedComments xmlns="http://schemas.microsoft.com/office/spreadsheetml/2018/threadedcomments" xmlns:x="http://schemas.openxmlformats.org/spreadsheetml/2006/main">
  <threadedComment ref="K46" dT="2025-07-22T14:48:38.07" personId="{2CF4B800-CA64-4D04-8032-00B7DE92E429}" id="{3C7B3C63-84F5-4DB6-B482-AB651199E838}" done="1">
    <text>Jame a émis ce commentaire 
Devrait être due dil</text>
  </threadedComment>
  <threadedComment ref="K50" dT="2025-07-22T14:45:31.88" personId="{2CF4B800-CA64-4D04-8032-00B7DE92E429}" id="{050DB87E-B197-47C9-B2AD-DC56D27F8FC7}">
    <text>Devrait être  Access Mgmt &amp; SoD</text>
  </threadedComment>
  <threadedComment ref="K50" dT="2025-07-24T17:39:02.07" personId="{2CF4B800-CA64-4D04-8032-00B7DE92E429}" id="{537DC662-A809-47B0-9276-7B9181E6C55F}" parentId="{050DB87E-B197-47C9-B2AD-DC56D27F8FC7}">
    <text/>
  </threadedComment>
  <threadedComment ref="K54" dT="2025-07-22T14:45:18.80" personId="{2CF4B800-CA64-4D04-8032-00B7DE92E429}" id="{B1A85EF0-0A90-4CFC-ACA2-3CF9216BD569}" done="1">
    <text>Devrait être  Access Mgmt &amp; SoD</text>
  </threadedComment>
  <threadedComment ref="K63" dT="2025-07-22T14:45:06.59" personId="{2CF4B800-CA64-4D04-8032-00B7DE92E429}" id="{B5CC409D-984E-4ACF-B18F-6C2C22DA5599}">
    <text>Devrait être  Access Mgmt &amp; SoD</text>
  </threadedComment>
  <threadedComment ref="K65" dT="2025-07-22T14:44:50.72" personId="{2CF4B800-CA64-4D04-8032-00B7DE92E429}" id="{E86514A9-7BCC-4685-B0AF-08D9DF7B2F85}">
    <text>Devrait être  Access Mgmt &amp; SoD</text>
  </threadedComment>
  <threadedComment ref="K100" dT="2025-07-22T14:44:38.52" personId="{2CF4B800-CA64-4D04-8032-00B7DE92E429}" id="{59DB253B-4909-4EB8-9737-D22A06121975}">
    <text>Devrait être Vulnerability Mgmt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3.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07DED-F6B5-4084-9707-4E7BBB156A96}">
  <sheetPr codeName="Sheet14"/>
  <dimension ref="B1:F30"/>
  <sheetViews>
    <sheetView topLeftCell="A3" zoomScaleNormal="100" workbookViewId="0">
      <selection activeCell="C22" sqref="C22"/>
    </sheetView>
  </sheetViews>
  <sheetFormatPr defaultColWidth="9.42578125" defaultRowHeight="15"/>
  <cols>
    <col min="1" max="1" width="2.5703125" style="2" customWidth="1"/>
    <col min="2" max="2" width="50.42578125" style="2" customWidth="1"/>
    <col min="3" max="3" width="26.42578125" style="2" customWidth="1"/>
    <col min="4" max="4" width="42.5703125" style="56" customWidth="1"/>
    <col min="5" max="5" width="32.42578125" style="2" customWidth="1"/>
    <col min="6" max="6" width="36.42578125" style="56" customWidth="1"/>
    <col min="7" max="7" width="38" style="2" customWidth="1"/>
    <col min="8" max="8" width="28.5703125" style="2" customWidth="1"/>
    <col min="9" max="16384" width="9.42578125" style="2"/>
  </cols>
  <sheetData>
    <row r="1" spans="2:6" ht="15.75" thickBot="1">
      <c r="B1" s="97" t="str">
        <f>IF($C$1='DATA - Contexte et portée'!$A$1,'DATA - Contexte et portée'!A2,'DATA - Contexte et portée'!B2)</f>
        <v>Langue</v>
      </c>
      <c r="C1" s="36" t="s">
        <v>0</v>
      </c>
    </row>
    <row r="2" spans="2:6" ht="21" customHeight="1">
      <c r="B2" s="98" t="str">
        <f>IF($C$1='DATA - Contexte et portée'!$A$1,'DATA - Contexte et portée'!A3,'DATA - Contexte et portée'!B3)</f>
        <v>Contexte de la solution</v>
      </c>
      <c r="D2" s="99" t="str">
        <f>IF($C$1='DATA - Contexte et portée'!$A$1,'DATA - Contexte et portée'!A4,'DATA - Contexte et portée'!B4)</f>
        <v>Date de mise à jour</v>
      </c>
      <c r="E2" s="57">
        <f ca="1">NOW()</f>
        <v>46107.276874884257</v>
      </c>
      <c r="F2" s="2"/>
    </row>
    <row r="3" spans="2:6" ht="15.75">
      <c r="B3" s="58"/>
    </row>
    <row r="4" spans="2:6" ht="15.75">
      <c r="B4" s="205" t="str">
        <f>IF($C$1='DATA - Contexte et portée'!$A$1,'DATA - Contexte et portée'!A5,'DATA - Contexte et portée'!B5)</f>
        <v>Projet</v>
      </c>
      <c r="C4" s="205"/>
      <c r="D4" s="205"/>
      <c r="E4" s="205"/>
    </row>
    <row r="5" spans="2:6" ht="15.75">
      <c r="B5" s="151" t="str">
        <f>IF($C$1='DATA - Contexte et portée'!$A$1,'DATA - Contexte et portée'!A6,'DATA - Contexte et portée'!B6)</f>
        <v>Nom du projet ou de l'analyse</v>
      </c>
      <c r="C5" s="209" t="s">
        <v>1</v>
      </c>
      <c r="D5" s="210"/>
      <c r="E5" s="211"/>
    </row>
    <row r="6" spans="2:6" ht="15.75">
      <c r="B6" s="151" t="str">
        <f>IF($C$1='DATA - Contexte et portée'!$A$1,'DATA - Contexte et portée'!A7,'DATA - Contexte et portée'!B7)</f>
        <v>Contexte de la solution et raison d'évaluation</v>
      </c>
      <c r="C6" s="209" t="s">
        <v>2</v>
      </c>
      <c r="D6" s="210"/>
      <c r="E6" s="211"/>
    </row>
    <row r="7" spans="2:6" ht="15.75">
      <c r="B7" s="151" t="str">
        <f>IF($C$1='DATA - Contexte et portée'!$A$1,'DATA - Contexte et portée'!A8,'DATA - Contexte et portée'!B8)</f>
        <v>Date de début</v>
      </c>
      <c r="C7" s="203">
        <v>46090</v>
      </c>
      <c r="D7" s="152" t="str">
        <f>IF($C$1='DATA - Contexte et portée'!$A$1,'DATA - Contexte et portée'!A9,'DATA - Contexte et portée'!B9)</f>
        <v>Date de mise en production</v>
      </c>
      <c r="E7" s="101"/>
    </row>
    <row r="8" spans="2:6" ht="15.75">
      <c r="B8" s="206" t="str">
        <f>IF($C$1='DATA - Contexte et portée'!$A$1,'DATA - Contexte et portée'!A11,'DATA - Contexte et portée'!B11)</f>
        <v>Portée (applications, environnements, limites)</v>
      </c>
      <c r="C8" s="207"/>
      <c r="D8" s="207"/>
      <c r="E8" s="208"/>
    </row>
    <row r="9" spans="2:6" ht="30">
      <c r="B9" s="151" t="str">
        <f>IF($C$1='DATA - Contexte et portée'!$A$1,'DATA - Contexte et portée'!A12,'DATA - Contexte et portée'!B12)</f>
        <v>Inclus</v>
      </c>
      <c r="C9" s="101" t="s">
        <v>3</v>
      </c>
      <c r="D9" s="152" t="str">
        <f>IF($C$1='DATA - Contexte et portée'!$A$1,'DATA - Contexte et portée'!A13,'DATA - Contexte et portée'!B13)</f>
        <v>Exclus (i.e., composants précédemment évalués dans le cadre du champ d'application)</v>
      </c>
      <c r="E9" s="101" t="s">
        <v>4</v>
      </c>
    </row>
    <row r="10" spans="2:6" ht="15.75">
      <c r="B10" s="206" t="str">
        <f>IF($C$1='DATA - Contexte et portée'!$A$1,'DATA - Contexte et portée'!A14,'DATA - Contexte et portée'!B14)</f>
        <v>Hopex</v>
      </c>
      <c r="C10" s="207"/>
      <c r="D10" s="207"/>
      <c r="E10" s="208"/>
    </row>
    <row r="11" spans="2:6" ht="15.75">
      <c r="B11" s="151" t="str">
        <f>IF($C$1='DATA - Contexte et portée'!$A$1,'DATA - Contexte et portée'!A15,'DATA - Contexte et portée'!B15)</f>
        <v>Nom de l'actif</v>
      </c>
      <c r="C11" s="209" t="s">
        <v>3</v>
      </c>
      <c r="D11" s="210"/>
      <c r="E11" s="211"/>
    </row>
    <row r="12" spans="2:6" ht="15.75">
      <c r="B12" s="151" t="str">
        <f>IF($C$1='DATA - Contexte et portée'!$A$1,'DATA - Contexte et portée'!A16,'DATA - Contexte et portée'!B16)</f>
        <v>ID Hopex</v>
      </c>
      <c r="C12" s="209" t="s">
        <v>5</v>
      </c>
      <c r="D12" s="210"/>
      <c r="E12" s="211"/>
    </row>
    <row r="13" spans="2:6" ht="15.75">
      <c r="B13" s="206" t="str">
        <f>IF($C$1='DATA - Contexte et portée'!$A$1,'DATA - Contexte et portée'!A17,'DATA - Contexte et portée'!B17)</f>
        <v>Collaborateurs</v>
      </c>
      <c r="C13" s="207"/>
      <c r="D13" s="207"/>
      <c r="E13" s="208"/>
    </row>
    <row r="14" spans="2:6" ht="15.75">
      <c r="B14" s="151" t="str">
        <f>IF($C$1='DATA - Contexte et portée'!$A$1,'DATA - Contexte et portée'!A19,'DATA - Contexte et portée'!B19)</f>
        <v>Responsable d'application</v>
      </c>
      <c r="C14" s="101" t="s">
        <v>6</v>
      </c>
      <c r="D14" s="152" t="str">
        <f>IF($C$1='DATA - Contexte et portée'!$A$1,'DATA - Contexte et portée'!A21,'DATA - Contexte et portée'!B21)</f>
        <v>Mandataire d'actif</v>
      </c>
      <c r="E14" s="101" t="s">
        <v>7</v>
      </c>
    </row>
    <row r="15" spans="2:6" ht="15.75">
      <c r="B15" s="151" t="str">
        <f>IF($C$1='DATA - Contexte et portée'!$A$1,'DATA - Contexte et portée'!A20,'DATA - Contexte et portée'!B20)</f>
        <v>Propriétaire d'actif</v>
      </c>
      <c r="C15" s="101" t="s">
        <v>8</v>
      </c>
      <c r="D15" s="152" t="str">
        <f>IF($C$1='DATA - Contexte et portée'!$A$1,'DATA - Contexte et portée'!A18,'DATA - Contexte et portée'!B18)</f>
        <v>Collaborateur désigné</v>
      </c>
      <c r="E15" s="101"/>
    </row>
    <row r="16" spans="2:6" ht="15.75">
      <c r="B16" s="151" t="str">
        <f>IF($C$1='DATA - Contexte et portée'!$A$1,'DATA - Contexte et portée'!A23,'DATA - Contexte et portée'!B23)</f>
        <v>Conseiller en sécurité</v>
      </c>
      <c r="C16" s="101" t="s">
        <v>9</v>
      </c>
      <c r="D16" s="152" t="str">
        <f>IF($C$1='DATA - Contexte et portée'!$A$1,'DATA - Contexte et portée'!A24,'DATA - Contexte et portée'!B24)</f>
        <v>Architecte/Concepteur Sécurité</v>
      </c>
      <c r="E16" s="101" t="s">
        <v>10</v>
      </c>
    </row>
    <row r="17" spans="2:5" ht="15.75">
      <c r="B17" s="212" t="str">
        <f>IF($C$1='DATA - Contexte et portée'!$A$1,'DATA - Contexte et portée'!A25,'DATA - Contexte et portée'!B25)</f>
        <v>Affaires (les informations de cette section doivent être fournies par le secteur d'affaires)</v>
      </c>
      <c r="C17" s="213"/>
      <c r="D17" s="213"/>
      <c r="E17" s="214"/>
    </row>
    <row r="18" spans="2:5" ht="15.75">
      <c r="B18" s="151" t="str">
        <f>IF($C$1='DATA - Contexte et portée'!$A$1,'DATA - Contexte et portée'!A26,'DATA - Contexte et portée'!B26)</f>
        <v>Objectifs affaires</v>
      </c>
      <c r="C18" s="209" t="s">
        <v>11</v>
      </c>
      <c r="D18" s="210"/>
      <c r="E18" s="211"/>
    </row>
    <row r="19" spans="2:5" ht="15.75">
      <c r="B19" s="151" t="str">
        <f>IF($C$1='DATA - Contexte et portée'!$A$1,'DATA - Contexte et portée'!A27,'DATA - Contexte et portée'!B27)</f>
        <v>Secteur ou Ligne d’affaire</v>
      </c>
      <c r="C19" s="209" t="s">
        <v>12</v>
      </c>
      <c r="D19" s="210"/>
      <c r="E19" s="211"/>
    </row>
    <row r="20" spans="2:5" ht="15.75">
      <c r="B20" s="206" t="str">
        <f>IF($C$1='DATA - Contexte et portée'!$A$1,'DATA - Contexte et portée'!A28,'DATA - Contexte et portée'!B28)</f>
        <v>Nombre d'utilisateurs ayant des droits d'accès</v>
      </c>
      <c r="C20" s="207"/>
      <c r="D20" s="207"/>
      <c r="E20" s="208"/>
    </row>
    <row r="21" spans="2:5" ht="31.5">
      <c r="B21" s="151" t="str">
        <f>IF($C$1='DATA - Contexte et portée'!$A$1,'DATA - Contexte et portée'!A29,'DATA - Contexte et portée'!B29)</f>
        <v>Estimation du nombre d'utilisateurs aux fonctions d'affaires</v>
      </c>
      <c r="C21" s="101" t="s">
        <v>13</v>
      </c>
      <c r="D21" s="152" t="str">
        <f>IF($C$1='DATA - Contexte et portée'!$A$1,'DATA - Contexte et portée'!A31,'DATA - Contexte et portée'!B31)</f>
        <v xml:space="preserve">Estimation du nombre d'accès pour les partenaires externes </v>
      </c>
      <c r="E21" s="101" t="s">
        <v>14</v>
      </c>
    </row>
    <row r="22" spans="2:5" ht="54" customHeight="1">
      <c r="B22" s="151" t="str">
        <f>IF($C$1='DATA - Contexte et portée'!$A$1,'DATA - Contexte et portée'!A30,'DATA - Contexte et portée'!B30)</f>
        <v xml:space="preserve">Estimation du nombre d'utilisateurs aux fonctions de support </v>
      </c>
      <c r="C22" s="101"/>
      <c r="D22" s="152" t="str">
        <f>IF($C$1='DATA - Contexte et portée'!$A$1,'DATA - Contexte et portée'!A32,'DATA - Contexte et portée'!B32)</f>
        <v>Autres (ex : applications)</v>
      </c>
      <c r="E22" s="101"/>
    </row>
    <row r="23" spans="2:5" ht="15.75">
      <c r="B23" s="218" t="str">
        <f>IF($C$1='DATA - Contexte et portée'!$A$1,'DATA - Contexte et portée'!A33,'DATA - Contexte et portée'!B33)</f>
        <v>Données</v>
      </c>
      <c r="C23" s="219"/>
      <c r="D23" s="219"/>
      <c r="E23" s="220"/>
    </row>
    <row r="24" spans="2:5" ht="15.75">
      <c r="B24" s="153" t="str">
        <f>IF($C$1='DATA - Contexte et portée'!$A$1,'DATA - Contexte et portée'!A34,'DATA - Contexte et portée'!B34)</f>
        <v>Types de données (ex. PII, données financières, etc.)</v>
      </c>
      <c r="C24" s="215" t="s">
        <v>15</v>
      </c>
      <c r="D24" s="216"/>
      <c r="E24" s="217"/>
    </row>
    <row r="25" spans="2:5" ht="15.75">
      <c r="B25" s="153" t="str">
        <f>IF($C$1='DATA - Contexte et portée'!$A$1,'DATA - Contexte et portée'!A35,'DATA - Contexte et portée'!B35)</f>
        <v>Qté approximative de données sensibles</v>
      </c>
      <c r="C25" s="100"/>
      <c r="D25" s="152" t="str">
        <f>IF($C$1='DATA - Contexte et portée'!$A$1,'DATA - Contexte et portée'!A36,'DATA - Contexte et portée'!B36)</f>
        <v>Cote de disponibilité</v>
      </c>
      <c r="E25" s="100">
        <v>3</v>
      </c>
    </row>
    <row r="26" spans="2:5" ht="15.75">
      <c r="B26" s="153" t="str">
        <f>IF($C$1='DATA - Contexte et portée'!$A$1,'DATA - Contexte et portée'!A37,'DATA - Contexte et portée'!B37)</f>
        <v>Cote d'intégrité</v>
      </c>
      <c r="C26" s="100">
        <v>3</v>
      </c>
      <c r="D26" s="152" t="str">
        <f>IF($C$1='DATA - Contexte et portée'!$A$1,'DATA - Contexte et portée'!A38,'DATA - Contexte et portée'!B38)</f>
        <v>Cote de confidentialité</v>
      </c>
      <c r="E26" s="100">
        <v>4</v>
      </c>
    </row>
    <row r="27" spans="2:5" ht="15.75">
      <c r="B27" s="221" t="str">
        <f>IF($C$1='DATA - Contexte et portée'!$A$1,'DATA - Contexte et portée'!A39,'DATA - Contexte et portée'!B39)</f>
        <v>Technologie</v>
      </c>
      <c r="C27" s="222"/>
      <c r="D27" s="222"/>
      <c r="E27" s="223"/>
    </row>
    <row r="28" spans="2:5" ht="15.75">
      <c r="B28" s="153" t="str">
        <f>IF($C$1='DATA - Contexte et portée'!$A$1,'DATA - Contexte et portée'!A40,'DATA - Contexte et portée'!B40)</f>
        <v>Type de plate-forme</v>
      </c>
      <c r="C28" s="215" t="s">
        <v>16</v>
      </c>
      <c r="D28" s="216"/>
      <c r="E28" s="217"/>
    </row>
    <row r="29" spans="2:5" ht="15.75">
      <c r="B29" s="153" t="str">
        <f>IF($C$1='DATA - Contexte et portée'!$A$1,'DATA - Contexte et portée'!A41,'DATA - Contexte et portée'!B41)</f>
        <v>L'actif est-il exposé sur internet ?</v>
      </c>
      <c r="C29" s="215" t="s">
        <v>17</v>
      </c>
      <c r="D29" s="216"/>
      <c r="E29" s="217"/>
    </row>
    <row r="30" spans="2:5" ht="15.75">
      <c r="B30" s="58"/>
    </row>
  </sheetData>
  <sheetProtection formatCells="0" insertHyperlinks="0"/>
  <mergeCells count="17">
    <mergeCell ref="C29:E29"/>
    <mergeCell ref="C19:E19"/>
    <mergeCell ref="B20:E20"/>
    <mergeCell ref="B23:E23"/>
    <mergeCell ref="C24:E24"/>
    <mergeCell ref="B27:E27"/>
    <mergeCell ref="C28:E28"/>
    <mergeCell ref="C11:E11"/>
    <mergeCell ref="C12:E12"/>
    <mergeCell ref="B13:E13"/>
    <mergeCell ref="B17:E17"/>
    <mergeCell ref="C18:E18"/>
    <mergeCell ref="B4:E4"/>
    <mergeCell ref="B8:E8"/>
    <mergeCell ref="C5:E5"/>
    <mergeCell ref="C6:E6"/>
    <mergeCell ref="B10:E10"/>
  </mergeCells>
  <dataValidations count="1">
    <dataValidation type="list" allowBlank="1" showInputMessage="1" showErrorMessage="1" sqref="C1" xr:uid="{602CE7EB-5C75-44AC-9985-ED014D162266}">
      <formula1>Languages</formula1>
    </dataValidation>
  </dataValidations>
  <pageMargins left="0.7" right="0.7" top="0.75" bottom="0.75" header="0.3" footer="0.3"/>
  <pageSetup paperSize="161"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C3BFB-8340-4500-A913-1A1DEB734AD3}">
  <sheetPr codeName="Sheet17"/>
  <dimension ref="A1:U151"/>
  <sheetViews>
    <sheetView zoomScale="90" zoomScaleNormal="90" workbookViewId="0">
      <pane xSplit="4" ySplit="1" topLeftCell="L2" activePane="bottomRight" state="frozen"/>
      <selection pane="bottomRight" activeCell="K2" sqref="K2"/>
      <selection pane="bottomLeft" activeCell="A4" sqref="A4"/>
      <selection pane="topRight" activeCell="F1" sqref="F1"/>
    </sheetView>
  </sheetViews>
  <sheetFormatPr defaultColWidth="9.42578125" defaultRowHeight="15"/>
  <cols>
    <col min="1" max="2" width="17.5703125" style="59" customWidth="1"/>
    <col min="3" max="3" width="25" customWidth="1"/>
    <col min="4" max="4" width="71" customWidth="1"/>
    <col min="5" max="5" width="27.42578125" bestFit="1" customWidth="1"/>
    <col min="6" max="6" width="41.5703125" customWidth="1"/>
    <col min="7" max="7" width="22.5703125" bestFit="1" customWidth="1"/>
    <col min="8" max="8" width="54.5703125" customWidth="1"/>
    <col min="9" max="9" width="32.5703125" customWidth="1"/>
    <col min="10" max="10" width="56" customWidth="1"/>
    <col min="11" max="12" width="28.5703125" customWidth="1"/>
    <col min="13" max="13" width="64.140625" customWidth="1"/>
    <col min="14" max="14" width="36.5703125" customWidth="1"/>
    <col min="15" max="15" width="70.5703125" customWidth="1"/>
    <col min="16" max="17" width="49.42578125" customWidth="1"/>
    <col min="18" max="18" width="23.42578125" customWidth="1"/>
    <col min="19" max="19" width="38.42578125" customWidth="1"/>
  </cols>
  <sheetData>
    <row r="1" spans="1:21" ht="45">
      <c r="A1" s="60" t="s">
        <v>18</v>
      </c>
      <c r="B1" s="60" t="s">
        <v>19</v>
      </c>
      <c r="C1" s="8" t="s">
        <v>20</v>
      </c>
      <c r="D1" s="8" t="s">
        <v>21</v>
      </c>
      <c r="E1" s="61" t="s">
        <v>22</v>
      </c>
      <c r="F1" s="61" t="s">
        <v>23</v>
      </c>
      <c r="G1" s="61" t="s">
        <v>24</v>
      </c>
      <c r="H1" s="61" t="s">
        <v>25</v>
      </c>
      <c r="I1" s="61" t="s">
        <v>26</v>
      </c>
      <c r="J1" s="8" t="s">
        <v>27</v>
      </c>
      <c r="K1" s="8" t="s">
        <v>28</v>
      </c>
      <c r="L1" s="8" t="s">
        <v>29</v>
      </c>
      <c r="M1" s="62" t="s">
        <v>30</v>
      </c>
      <c r="N1" s="62" t="s">
        <v>31</v>
      </c>
      <c r="O1" s="62" t="s">
        <v>32</v>
      </c>
      <c r="P1" s="62" t="s">
        <v>33</v>
      </c>
      <c r="Q1" s="62" t="s">
        <v>34</v>
      </c>
      <c r="R1" s="8" t="s">
        <v>35</v>
      </c>
      <c r="S1" s="8" t="s">
        <v>36</v>
      </c>
    </row>
    <row r="2" spans="1:21" ht="120.75">
      <c r="A2" s="38"/>
      <c r="B2" s="38" t="s">
        <v>37</v>
      </c>
      <c r="C2" s="39" t="str" cm="1">
        <f t="array" aca="1" ref="C2" ca="1">INDIRECT("tbl_REF_Risques_TDSI[@[Risk Scenario Title "&amp;DocumentLanguage&amp;"]]")</f>
        <v>Vol ou fuite de données confidentielles causé par du personnel interne malveillant</v>
      </c>
      <c r="D2" s="39" t="str" cm="1">
        <f t="array" aca="1" ref="D2" ca="1">INDIRECT("tbl_REF_Risques_TDSI[@[Risk Scenario Description "&amp;DocumentLanguage&amp;"]]")</f>
        <v>Cause : En raison d’une action malveillante du personnel interne (employé/contractuel),
Risque : il existe un risque de vol ou de fuite de données confidentielles ou restreintes, incluant des renseignements personnels,
Impact: ce qui entraînerait une atteinte à la réputation, une attention négative des régulateurs ou des pertes financières.</v>
      </c>
      <c r="E2" s="173" t="s">
        <v>38</v>
      </c>
      <c r="F2" s="173" t="s">
        <v>39</v>
      </c>
      <c r="G2" s="173" t="s">
        <v>40</v>
      </c>
      <c r="H2" s="173" t="s">
        <v>41</v>
      </c>
      <c r="I2" s="174" t="s">
        <v>42</v>
      </c>
      <c r="J2" s="39" t="str" cm="1">
        <f t="array" aca="1" ref="J2" ca="1">INDIRECT("tbl_REF_Risques_TDSI[@[Taxo Cause "&amp;DocumentLanguage&amp;"]]")</f>
        <v>- Comportement humain préjudiciable
- Gestion des talents inadéquate
- Sécurité et contrôles inadéquats</v>
      </c>
      <c r="K2" s="39" t="str" cm="1">
        <f t="array" aca="1" ref="K2" ca="1">INDIRECT("tbl_REF_Risques_TDSI[@[Taxo Risk "&amp;DocumentLanguage&amp;"]]")</f>
        <v>N4.05 Perte ou fuite d'informations</v>
      </c>
      <c r="L2" s="39" t="str" cm="1">
        <f t="array" aca="1" ref="L2" ca="1">INDIRECT("tbl_REF_Risques_TDSI[@[Taxo Impact "&amp;DocumentLanguage&amp;"]]")</f>
        <v>- Perte monétaire ($)
- Clients / partenaires
- Employés
- Réputationnel
- Réglementaire</v>
      </c>
      <c r="M2" s="178" t="s">
        <v>43</v>
      </c>
      <c r="N2" s="173" t="s">
        <v>44</v>
      </c>
      <c r="O2" s="179" t="s">
        <v>45</v>
      </c>
      <c r="P2" s="173" t="s">
        <v>46</v>
      </c>
      <c r="Q2" s="176" t="s">
        <v>47</v>
      </c>
      <c r="R2" s="38" t="s">
        <v>45</v>
      </c>
      <c r="S2" s="176" t="s">
        <v>47</v>
      </c>
      <c r="U2" s="8"/>
    </row>
    <row r="3" spans="1:21" ht="156.75">
      <c r="A3" s="38"/>
      <c r="B3" s="38" t="s">
        <v>48</v>
      </c>
      <c r="C3" s="39" t="str" cm="1">
        <f t="array" aca="1" ref="C3" ca="1">INDIRECT("tbl_REF_Risques_TDSI[@[Risk Scenario Title "&amp;DocumentLanguage&amp;"]]")</f>
        <v>Vol ou fuite de données confidentielles causé par un cybercriminel</v>
      </c>
      <c r="D3" s="39" t="str" cm="1">
        <f t="array" aca="1" ref="D3" ca="1">INDIRECT("tbl_REF_Risques_TDSI[@[Risk Scenario Description "&amp;DocumentLanguage&amp;"]]")</f>
        <v>Cause : En raison d’une action malveillante d’un cybercriminel,
Risque : il existe un risque de vol ou de fuite des données confidentielles ou restreintes, incluant des renseignements personnels, 
Impact : ce qui entraînerait une atteinte à la réputation, une attention négative des régulateurs ou des pertes financières.</v>
      </c>
      <c r="E3" s="175" t="s">
        <v>49</v>
      </c>
      <c r="F3" s="175" t="s">
        <v>50</v>
      </c>
      <c r="G3" s="175" t="s">
        <v>40</v>
      </c>
      <c r="H3" s="175" t="s">
        <v>51</v>
      </c>
      <c r="I3" s="174" t="s">
        <v>42</v>
      </c>
      <c r="J3" s="39" t="str" cm="1">
        <f t="array" aca="1" ref="J3" ca="1">INDIRECT("tbl_REF_Risques_TDSI[@[Taxo Cause "&amp;DocumentLanguage&amp;"]]")</f>
        <v>- Comportement humain préjudiciable
- Gestion des talents inadéquate
- Documentation inadéquate
- Architecture inadéquate
- Développement de solutions informatiques inadéquat
- Gestion du système d'information inappropriée
- Sécurité et contrôles inadéquats
- Activités malveillantes</v>
      </c>
      <c r="K3" s="39" t="str" cm="1">
        <f t="array" aca="1" ref="K3" ca="1">INDIRECT("tbl_REF_Risques_TDSI[@[Taxo Risk "&amp;DocumentLanguage&amp;"]]")</f>
        <v>N4.05 Perte ou fuite d'informations</v>
      </c>
      <c r="L3" s="39" t="str" cm="1">
        <f t="array" aca="1" ref="L3" ca="1">INDIRECT("tbl_REF_Risques_TDSI[@[Taxo Impact "&amp;DocumentLanguage&amp;"]]")</f>
        <v>- Perte monétaire ($)
- Clients / partenaires
- Employés
- Réputationnel
- Réglementaire</v>
      </c>
      <c r="M3" s="180" t="s">
        <v>52</v>
      </c>
      <c r="N3" s="175" t="s">
        <v>53</v>
      </c>
      <c r="O3" s="179" t="s">
        <v>45</v>
      </c>
      <c r="P3" s="175" t="s">
        <v>54</v>
      </c>
      <c r="Q3" s="176" t="s">
        <v>47</v>
      </c>
      <c r="R3" s="38" t="s">
        <v>45</v>
      </c>
      <c r="S3" s="176" t="s">
        <v>47</v>
      </c>
    </row>
    <row r="4" spans="1:21" ht="165">
      <c r="A4" s="38"/>
      <c r="B4" s="38" t="s">
        <v>55</v>
      </c>
      <c r="C4" s="39" t="str" cm="1">
        <f t="array" aca="1" ref="C4" ca="1">INDIRECT("tbl_REF_Risques_TDSI[@[Risk Scenario Title "&amp;DocumentLanguage&amp;"]]")</f>
        <v>Dégradation ou indisponibilité des technologies de l’information causée par un tiers</v>
      </c>
      <c r="D4" s="39" t="str" cm="1">
        <f t="array" aca="1" ref="D4" ca="1">INDIRECT("tbl_REF_Risques_TDSI[@[Risk Scenario Description "&amp;DocumentLanguage&amp;"]]")</f>
        <v>Cause : En raison d’une défaillance d’une technologie ou d’un service informatique fournis par un tiers,
Risque :  il existe un risque de dégradation de la performance ou d’indisponibilité des technologies de l’information utilisées par l’unité évaluable, 
Impact :  ce qui entraînerait un dommage aux relations d’affaires (ex. plaintes), affecterait les employés (ex. performance, atteinte d’objectifs) ou entraînerait des pertes financières, une attention négative des régulateurs ou une atteinte à la réputation.</v>
      </c>
      <c r="E4" s="173" t="s">
        <v>49</v>
      </c>
      <c r="F4" s="173" t="s">
        <v>56</v>
      </c>
      <c r="G4" s="173" t="s">
        <v>57</v>
      </c>
      <c r="H4" s="173" t="s">
        <v>58</v>
      </c>
      <c r="I4" s="176" t="s">
        <v>47</v>
      </c>
      <c r="J4" s="39" t="str" cm="1">
        <f t="array" aca="1" ref="J4" ca="1">INDIRECT("tbl_REF_Risques_TDSI[@[Taxo Cause "&amp;DocumentLanguage&amp;"]]")</f>
        <v>- Défaillance d'un tiers</v>
      </c>
      <c r="K4" s="39" t="str" cm="1">
        <f t="array" aca="1" ref="K4" ca="1">INDIRECT("tbl_REF_Risques_TDSI[@[Taxo Risk "&amp;DocumentLanguage&amp;"]]")</f>
        <v>N4.08 Dysfonctionnement d’une application informatique (incluant l'indisponibilité)</v>
      </c>
      <c r="L4" s="39" t="str" cm="1">
        <f t="array" aca="1" ref="L4" ca="1">INDIRECT("tbl_REF_Risques_TDSI[@[Taxo Impact "&amp;DocumentLanguage&amp;"]]")</f>
        <v>- Perte monétaire ($)
- Clients / partenaires
- Employés
- Réputationnel
- Réglementaire</v>
      </c>
      <c r="M4" s="178" t="s">
        <v>59</v>
      </c>
      <c r="N4" s="173" t="s">
        <v>60</v>
      </c>
      <c r="O4" s="181" t="s">
        <v>61</v>
      </c>
      <c r="P4" s="173" t="s">
        <v>62</v>
      </c>
      <c r="Q4" s="182" t="s">
        <v>63</v>
      </c>
      <c r="R4" s="38" t="s">
        <v>61</v>
      </c>
      <c r="S4" s="182" t="s">
        <v>63</v>
      </c>
    </row>
    <row r="5" spans="1:21" ht="165">
      <c r="A5" s="38"/>
      <c r="B5" s="38" t="s">
        <v>64</v>
      </c>
      <c r="C5" s="39" t="str" cm="1">
        <f t="array" aca="1" ref="C5" ca="1">INDIRECT("tbl_REF_Risques_TDSI[@[Risk Scenario Title "&amp;DocumentLanguage&amp;"]]")</f>
        <v>Dégradation ou indisponibilité des technologies de l’information causée par une gestion interne inadéquate</v>
      </c>
      <c r="D5" s="39" t="str" cm="1">
        <f t="array" aca="1" ref="D5" ca="1">INDIRECT("tbl_REF_Risques_TDSI[@[Risk Scenario Description "&amp;DocumentLanguage&amp;"]]")</f>
        <v>Cause :  En raison de la gestion interne inadéquate des technologies de l’information de l’unité évaluable (incluant les DMU),
Risque : il existe un risque de dégradation de la performance ou d’indisponibilité des technologies de l’information utilisées par l’unité évaluable, 
Impact : ce qui entraînerait un dommage aux relations d’affaires (ex. plaintes), affecterait les employés (ex. performance, atteinte d’objectifs) ou entraînerait des pertes financières, une attention négative des régulateurs ou une atteinte à la réputation.</v>
      </c>
      <c r="E5" s="175" t="s">
        <v>49</v>
      </c>
      <c r="F5" s="175" t="s">
        <v>65</v>
      </c>
      <c r="G5" s="175" t="s">
        <v>57</v>
      </c>
      <c r="H5" s="175" t="s">
        <v>66</v>
      </c>
      <c r="I5" s="176" t="s">
        <v>47</v>
      </c>
      <c r="J5" s="39" t="str" cm="1">
        <f t="array" aca="1" ref="J5" ca="1">INDIRECT("tbl_REF_Risques_TDSI[@[Taxo Cause "&amp;DocumentLanguage&amp;"]]")</f>
        <v>- Gestion inadéquate des talents
- Exécution défaillante
- Documentation inadéquate
- Architecture inadéquate
- Développement de solutions informatiques inadéquat
- Gestion du système d'information inappropriée
- Problème de performance technique</v>
      </c>
      <c r="K5" s="39" t="str" cm="1">
        <f t="array" aca="1" ref="K5" ca="1">INDIRECT("tbl_REF_Risques_TDSI[@[Taxo Risk "&amp;DocumentLanguage&amp;"]]")</f>
        <v>N4.08 Dysfonctionnement d’une application informatique (incluant l'indisponibilité)</v>
      </c>
      <c r="L5" s="39" t="str" cm="1">
        <f t="array" aca="1" ref="L5" ca="1">INDIRECT("tbl_REF_Risques_TDSI[@[Taxo Impact "&amp;DocumentLanguage&amp;"]]")</f>
        <v>- Perte monétaire ($)
- Clients / partenaires
- Employés
- Réputationnel
- Réglementaire</v>
      </c>
      <c r="M5" s="180" t="s">
        <v>67</v>
      </c>
      <c r="N5" s="175" t="s">
        <v>68</v>
      </c>
      <c r="O5" s="179" t="s">
        <v>45</v>
      </c>
      <c r="P5" s="175" t="s">
        <v>69</v>
      </c>
      <c r="Q5" s="177" t="s">
        <v>70</v>
      </c>
      <c r="R5" s="38" t="s">
        <v>45</v>
      </c>
      <c r="S5" s="177" t="s">
        <v>70</v>
      </c>
    </row>
    <row r="6" spans="1:21" ht="135">
      <c r="A6" s="38"/>
      <c r="B6" s="38" t="s">
        <v>71</v>
      </c>
      <c r="C6" s="39" t="str" cm="1">
        <f t="array" aca="1" ref="C6" ca="1">INDIRECT("tbl_REF_Risques_TDSI[@[Risk Scenario Title "&amp;DocumentLanguage&amp;"]]")</f>
        <v>Utilisation de données de mauvaise qualité qui ne répondent pas aux besoins de l’unité évaluable</v>
      </c>
      <c r="D6" s="39" t="str" cm="1">
        <f t="array" aca="1" ref="D6" ca="1">INDIRECT("tbl_REF_Risques_TDSI[@[Risk Scenario Description "&amp;DocumentLanguage&amp;"]]")</f>
        <v>Cause :  En raison de la conception inadéquate ou de l’exécution défaillante d’un processus préalable lors de la création de données,
Risque : il existe un risque que des données de mauvaise qualité soient utilisées, 
Impact :  ce qui entraînerait des erreurs, des pertes de temps et des coûts additionnels.</v>
      </c>
      <c r="E6" s="173" t="s">
        <v>72</v>
      </c>
      <c r="F6" s="173" t="s">
        <v>73</v>
      </c>
      <c r="G6" s="173" t="s">
        <v>74</v>
      </c>
      <c r="H6" s="173" t="s">
        <v>75</v>
      </c>
      <c r="I6" s="177" t="s">
        <v>70</v>
      </c>
      <c r="J6" s="39" t="str" cm="1">
        <f t="array" aca="1" ref="J6" ca="1">INDIRECT("tbl_REF_Risques_TDSI[@[Taxo Cause "&amp;DocumentLanguage&amp;"]]")</f>
        <v>- Conception inadéquate
- Exécution défaillante
- Architecture inadéquate
- Comportement humain préjudiciable / erreur humaine
- Comportement humain préjudiciable / complaisance
- Gestion des talents inadéquate
- Contrôles et gestion inadéquats
- Documentation inadéquate
- Défaillance d’un tiers</v>
      </c>
      <c r="K6" s="39" t="str" cm="1">
        <f t="array" aca="1" ref="K6" ca="1">INDIRECT("tbl_REF_Risques_TDSI[@[Taxo Risk "&amp;DocumentLanguage&amp;"]]")</f>
        <v>N4.02 Consommation ou production de données dont la qualité ne répond pas aux besoins d'affaires</v>
      </c>
      <c r="L6" s="39" t="str" cm="1">
        <f t="array" aca="1" ref="L6" ca="1">INDIRECT("tbl_REF_Risques_TDSI[@[Taxo Impact "&amp;DocumentLanguage&amp;"]]")</f>
        <v>- Perte monétaire ($)
- Employés</v>
      </c>
      <c r="M6" s="178" t="s">
        <v>76</v>
      </c>
      <c r="N6" s="173" t="s">
        <v>77</v>
      </c>
      <c r="O6" s="183" t="s">
        <v>78</v>
      </c>
      <c r="P6" s="173" t="s">
        <v>79</v>
      </c>
      <c r="Q6" s="177" t="s">
        <v>70</v>
      </c>
      <c r="R6" s="38" t="s">
        <v>78</v>
      </c>
      <c r="S6" s="184" t="s">
        <v>70</v>
      </c>
    </row>
    <row r="7" spans="1:21" ht="120">
      <c r="A7" s="38"/>
      <c r="B7" s="38" t="s">
        <v>80</v>
      </c>
      <c r="C7" s="39" t="str" cm="1">
        <f t="array" aca="1" ref="C7" ca="1">INDIRECT("tbl_REF_Risques_TDSI[@[Risk Scenario Title "&amp;DocumentLanguage&amp;"]]")</f>
        <v>Données manquantes pour la prise de décision ou l’exécution d’un processus</v>
      </c>
      <c r="D7" s="39" t="str" cm="1">
        <f t="array" aca="1" ref="D7" ca="1">INDIRECT("tbl_REF_Risques_TDSI[@[Risk Scenario Description "&amp;DocumentLanguage&amp;"]]")</f>
        <v>Cause :  En raison de la conception inadéquate ou de l’exécution défaillante d’un processus,
Risque :  il existe un risque que les données requises ne soient pas disponibles dans les temps requis, 
Impact : ce qui entraînerait des délais, des coûts additionnels ou affecterait négativement une prise de décision.</v>
      </c>
      <c r="E7" s="175" t="s">
        <v>72</v>
      </c>
      <c r="F7" s="175" t="s">
        <v>81</v>
      </c>
      <c r="G7" s="175" t="s">
        <v>74</v>
      </c>
      <c r="H7" s="175" t="s">
        <v>82</v>
      </c>
      <c r="I7" s="177" t="s">
        <v>70</v>
      </c>
      <c r="J7" s="39" t="str" cm="1">
        <f t="array" aca="1" ref="J7" ca="1">INDIRECT("tbl_REF_Risques_TDSI[@[Taxo Cause "&amp;DocumentLanguage&amp;"]]")</f>
        <v>- Gestion inadéquate des talents
- Conception inadéquate
- Exécution défaillante
- Architecture inadéquate
- Documentation inadéquate</v>
      </c>
      <c r="K7" s="39" t="str" cm="1">
        <f t="array" aca="1" ref="K7" ca="1">INDIRECT("tbl_REF_Risques_TDSI[@[Taxo Risk "&amp;DocumentLanguage&amp;"]]")</f>
        <v>N4.03 Manque d'accessibilité aux données</v>
      </c>
      <c r="L7" s="39" t="str" cm="1">
        <f t="array" aca="1" ref="L7" ca="1">INDIRECT("tbl_REF_Risques_TDSI[@[Taxo Impact "&amp;DocumentLanguage&amp;"]]")</f>
        <v>- Perte monétaire ($)
- Employés</v>
      </c>
      <c r="M7" s="180" t="s">
        <v>83</v>
      </c>
      <c r="N7" s="175" t="s">
        <v>84</v>
      </c>
      <c r="O7" s="179" t="s">
        <v>45</v>
      </c>
      <c r="P7" s="175" t="s">
        <v>85</v>
      </c>
      <c r="Q7" s="177" t="s">
        <v>70</v>
      </c>
      <c r="R7" s="38" t="s">
        <v>78</v>
      </c>
      <c r="S7" s="184" t="s">
        <v>70</v>
      </c>
    </row>
    <row r="8" spans="1:21">
      <c r="A8" s="38"/>
      <c r="B8" s="38" t="s">
        <v>86</v>
      </c>
      <c r="C8" s="39" t="e" cm="1">
        <f t="array" aca="1" ref="C8" ca="1">INDIRECT("tbl_REF_Risques_TDSI[@[Risk Scenario Title "&amp;DocumentLanguage&amp;"]]")</f>
        <v>#REF!</v>
      </c>
      <c r="D8" s="39" t="e" cm="1">
        <f t="array" aca="1" ref="D8" ca="1">INDIRECT("tbl_REF_Risques_TDSI[@[Risk Scenario Description "&amp;DocumentLanguage&amp;"]]")</f>
        <v>#REF!</v>
      </c>
      <c r="E8" s="41"/>
      <c r="F8" s="43"/>
      <c r="G8" s="39"/>
      <c r="H8" s="43"/>
      <c r="I8" s="1" t="str" cm="1">
        <f t="array" aca="1" ref="I8"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8" s="39" t="e" cm="1">
        <f t="array" aca="1" ref="J8" ca="1">INDIRECT("tbl_REF_Risques_TDSI[@[Taxo Cause "&amp;DocumentLanguage&amp;"]]")</f>
        <v>#REF!</v>
      </c>
      <c r="K8" s="39" t="e" cm="1">
        <f t="array" aca="1" ref="K8" ca="1">INDIRECT("tbl_REF_Risques_TDSI[@[Taxo Risk "&amp;DocumentLanguage&amp;"]]")</f>
        <v>#REF!</v>
      </c>
      <c r="L8" s="39" t="e" cm="1">
        <f t="array" aca="1" ref="L8" ca="1">INDIRECT("tbl_REF_Risques_TDSI[@[Taxo Impact "&amp;DocumentLanguage&amp;"]]")</f>
        <v>#REF!</v>
      </c>
      <c r="M8" s="49"/>
      <c r="N8" s="63" t="e" cm="1">
        <f t="array" aca="1" ref="N8"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8" s="38" t="e" cm="1">
        <f t="array" aca="1" ref="O8" ca="1">_xlfn.LET(
 _xlpm.raw,_xlfn.TEXTSPLIT(M8,CHAR(10)),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8" s="38"/>
      <c r="Q8" s="10" t="e">
        <f ca="1">INDEX(INDIRECT("RiskResid_"&amp;DocumentLanguage),MATCH(tbl_Risks[[#This Row],[Niveau Risque Inhérent
Inherent Risk Level]], INDIRECT("niv_risk_"&amp;DocumentLanguage), 0),MATCH(tbl_Risks[[#This Row],[Efficacité globale 
Global efficiency]], INDIRECT("effglob_"&amp;DocumentLanguage), 0))</f>
        <v>#N/A</v>
      </c>
      <c r="R8" s="38"/>
      <c r="S8" s="10" t="e">
        <f ca="1">INDEX(INDIRECT("RiskResid_"&amp;DocumentLanguage),MATCH(tbl_Risks[[#This Row],[Niveau Risque Inhérent
Inherent Risk Level]], INDIRECT("niv_risk_"&amp;DocumentLanguage), 0),MATCH(tbl_Risks[[#This Row],[Efficacité finale
Final efficiency]], INDIRECT("effglob_"&amp;DocumentLanguage), 0))</f>
        <v>#N/A</v>
      </c>
    </row>
    <row r="9" spans="1:21">
      <c r="A9" s="38"/>
      <c r="B9" s="38" t="s">
        <v>87</v>
      </c>
      <c r="C9" s="39" t="e" cm="1">
        <f t="array" aca="1" ref="C9" ca="1">INDIRECT("tbl_REF_Risques_TDSI[@[Risk Scenario Title "&amp;DocumentLanguage&amp;"]]")</f>
        <v>#REF!</v>
      </c>
      <c r="D9" s="39" t="e" cm="1">
        <f t="array" aca="1" ref="D9" ca="1">INDIRECT("tbl_REF_Risques_TDSI[@[Risk Scenario Description "&amp;DocumentLanguage&amp;"]]")</f>
        <v>#REF!</v>
      </c>
      <c r="E9" s="41"/>
      <c r="F9" s="43"/>
      <c r="G9" s="39"/>
      <c r="H9" s="42"/>
      <c r="I9" s="1" t="str" cm="1">
        <f t="array" aca="1" ref="I9"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9" s="39" t="e" cm="1">
        <f t="array" aca="1" ref="J9" ca="1">INDIRECT("tbl_REF_Risques_TDSI[@[Taxo Cause "&amp;DocumentLanguage&amp;"]]")</f>
        <v>#REF!</v>
      </c>
      <c r="K9" s="39" t="e" cm="1">
        <f t="array" aca="1" ref="K9" ca="1">INDIRECT("tbl_REF_Risques_TDSI[@[Taxo Risk "&amp;DocumentLanguage&amp;"]]")</f>
        <v>#REF!</v>
      </c>
      <c r="L9" s="39" t="e" cm="1">
        <f t="array" aca="1" ref="L9" ca="1">INDIRECT("tbl_REF_Risques_TDSI[@[Taxo Impact "&amp;DocumentLanguage&amp;"]]")</f>
        <v>#REF!</v>
      </c>
      <c r="M9" s="49"/>
      <c r="N9" s="63" t="e" cm="1">
        <f t="array" aca="1" ref="N9"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9" s="38" t="e" cm="1">
        <f t="array" aca="1" ref="O9" ca="1">_xlfn.LET(
 _xlpm.raw,_xlfn.TEXTSPLIT(M9,CHAR(10)),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9" s="38"/>
      <c r="Q9" s="10" t="e">
        <f ca="1">INDEX(INDIRECT("RiskResid_"&amp;DocumentLanguage),MATCH(tbl_Risks[[#This Row],[Niveau Risque Inhérent
Inherent Risk Level]], INDIRECT("niv_risk_"&amp;DocumentLanguage), 0),MATCH(tbl_Risks[[#This Row],[Efficacité globale 
Global efficiency]], INDIRECT("effglob_"&amp;DocumentLanguage), 0))</f>
        <v>#N/A</v>
      </c>
      <c r="R9" s="38"/>
      <c r="S9" s="10" t="e">
        <f ca="1">INDEX(INDIRECT("RiskResid_"&amp;DocumentLanguage),MATCH(tbl_Risks[[#This Row],[Niveau Risque Inhérent
Inherent Risk Level]], INDIRECT("niv_risk_"&amp;DocumentLanguage), 0),MATCH(tbl_Risks[[#This Row],[Efficacité finale
Final efficiency]], INDIRECT("effglob_"&amp;DocumentLanguage), 0))</f>
        <v>#N/A</v>
      </c>
    </row>
    <row r="10" spans="1:21">
      <c r="A10" s="38"/>
      <c r="B10" s="38" t="s">
        <v>88</v>
      </c>
      <c r="C10" s="39" t="e" cm="1">
        <f t="array" aca="1" ref="C10" ca="1">INDIRECT("tbl_REF_Risques_TDSI[@[Risk Scenario Title "&amp;DocumentLanguage&amp;"]]")</f>
        <v>#REF!</v>
      </c>
      <c r="D10" s="39" t="e" cm="1">
        <f t="array" aca="1" ref="D10" ca="1">INDIRECT("tbl_REF_Risques_TDSI[@[Risk Scenario Description "&amp;DocumentLanguage&amp;"]]")</f>
        <v>#REF!</v>
      </c>
      <c r="E10" s="41"/>
      <c r="F10" s="43"/>
      <c r="G10" s="39"/>
      <c r="H10" s="43"/>
      <c r="I10" s="1" t="str" cm="1">
        <f t="array" aca="1" ref="I10"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0" s="39" t="e" cm="1">
        <f t="array" aca="1" ref="J10" ca="1">INDIRECT("tbl_REF_Risques_TDSI[@[Taxo Cause "&amp;DocumentLanguage&amp;"]]")</f>
        <v>#REF!</v>
      </c>
      <c r="K10" s="39" t="e" cm="1">
        <f t="array" aca="1" ref="K10" ca="1">INDIRECT("tbl_REF_Risques_TDSI[@[Taxo Risk "&amp;DocumentLanguage&amp;"]]")</f>
        <v>#REF!</v>
      </c>
      <c r="L10" s="39" t="e" cm="1">
        <f t="array" aca="1" ref="L10" ca="1">INDIRECT("tbl_REF_Risques_TDSI[@[Taxo Impact "&amp;DocumentLanguage&amp;"]]")</f>
        <v>#REF!</v>
      </c>
      <c r="M10" s="49"/>
      <c r="N10" s="63" t="e" cm="1">
        <f t="array" aca="1" ref="N10"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0" s="38" t="e" cm="1">
        <f t="array" aca="1" ref="O10" ca="1">_xlfn.LET(
 _xlpm.raw,_xlfn.TEXTSPLIT(M10,CHAR(10)),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0" s="38"/>
      <c r="Q10" s="10" t="e">
        <f ca="1">INDEX(INDIRECT("RiskResid_"&amp;DocumentLanguage),MATCH(tbl_Risks[[#This Row],[Niveau Risque Inhérent
Inherent Risk Level]], INDIRECT("niv_risk_"&amp;DocumentLanguage), 0),MATCH(tbl_Risks[[#This Row],[Efficacité globale 
Global efficiency]], INDIRECT("effglob_"&amp;DocumentLanguage), 0))</f>
        <v>#N/A</v>
      </c>
      <c r="R10" s="38"/>
      <c r="S10" s="10" t="e">
        <f ca="1">INDEX(INDIRECT("RiskResid_"&amp;DocumentLanguage),MATCH(tbl_Risks[[#This Row],[Niveau Risque Inhérent
Inherent Risk Level]], INDIRECT("niv_risk_"&amp;DocumentLanguage), 0),MATCH(tbl_Risks[[#This Row],[Efficacité finale
Final efficiency]], INDIRECT("effglob_"&amp;DocumentLanguage), 0))</f>
        <v>#N/A</v>
      </c>
    </row>
    <row r="11" spans="1:21">
      <c r="A11" s="38"/>
      <c r="B11" s="38" t="s">
        <v>89</v>
      </c>
      <c r="C11" s="39" t="e" cm="1">
        <f t="array" aca="1" ref="C11" ca="1">INDIRECT("tbl_REF_Risques_TDSI[@[Risk Scenario Title "&amp;DocumentLanguage&amp;"]]")</f>
        <v>#REF!</v>
      </c>
      <c r="D11" s="39" t="e" cm="1">
        <f t="array" aca="1" ref="D11" ca="1">INDIRECT("tbl_REF_Risques_TDSI[@[Risk Scenario Description "&amp;DocumentLanguage&amp;"]]")</f>
        <v>#REF!</v>
      </c>
      <c r="E11" s="41"/>
      <c r="F11" s="43"/>
      <c r="G11" s="39"/>
      <c r="H11" s="43"/>
      <c r="I11" s="1" t="str" cm="1">
        <f t="array" aca="1" ref="I11"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1" s="39" t="e" cm="1">
        <f t="array" aca="1" ref="J11" ca="1">INDIRECT("tbl_REF_Risques_TDSI[@[Taxo Cause "&amp;DocumentLanguage&amp;"]]")</f>
        <v>#REF!</v>
      </c>
      <c r="K11" s="39" t="e" cm="1">
        <f t="array" aca="1" ref="K11" ca="1">INDIRECT("tbl_REF_Risques_TDSI[@[Taxo Risk "&amp;DocumentLanguage&amp;"]]")</f>
        <v>#REF!</v>
      </c>
      <c r="L11" s="39" t="e" cm="1">
        <f t="array" aca="1" ref="L11" ca="1">INDIRECT("tbl_REF_Risques_TDSI[@[Taxo Impact "&amp;DocumentLanguage&amp;"]]")</f>
        <v>#REF!</v>
      </c>
      <c r="M11" s="49"/>
      <c r="N11" s="63" t="e" cm="1">
        <f t="array" aca="1" ref="N11"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1" s="38" t="e" cm="1">
        <f t="array" aca="1" ref="O11" ca="1">_xlfn.LET(
 _xlpm.raw,_xlfn.TEXTSPLIT(M11,CHAR(10)),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1" s="38"/>
      <c r="Q11" s="10" t="e">
        <f ca="1">INDEX(INDIRECT("RiskResid_"&amp;DocumentLanguage),MATCH(tbl_Risks[[#This Row],[Niveau Risque Inhérent
Inherent Risk Level]], INDIRECT("niv_risk_"&amp;DocumentLanguage), 0),MATCH(tbl_Risks[[#This Row],[Efficacité globale 
Global efficiency]], INDIRECT("effglob_"&amp;DocumentLanguage), 0))</f>
        <v>#N/A</v>
      </c>
      <c r="R11" s="38"/>
      <c r="S11" s="10" t="e">
        <f ca="1">INDEX(INDIRECT("RiskResid_"&amp;DocumentLanguage),MATCH(tbl_Risks[[#This Row],[Niveau Risque Inhérent
Inherent Risk Level]], INDIRECT("niv_risk_"&amp;DocumentLanguage), 0),MATCH(tbl_Risks[[#This Row],[Efficacité finale
Final efficiency]], INDIRECT("effglob_"&amp;DocumentLanguage), 0))</f>
        <v>#N/A</v>
      </c>
    </row>
    <row r="12" spans="1:21">
      <c r="A12" s="38"/>
      <c r="B12" s="38" t="s">
        <v>90</v>
      </c>
      <c r="C12" s="39" t="e" cm="1">
        <f t="array" aca="1" ref="C12" ca="1">INDIRECT("tbl_REF_Risques_TDSI[@[Risk Scenario Title "&amp;DocumentLanguage&amp;"]]")</f>
        <v>#REF!</v>
      </c>
      <c r="D12" s="39" t="e" cm="1">
        <f t="array" aca="1" ref="D12" ca="1">INDIRECT("tbl_REF_Risques_TDSI[@[Risk Scenario Description "&amp;DocumentLanguage&amp;"]]")</f>
        <v>#REF!</v>
      </c>
      <c r="E12" s="41"/>
      <c r="F12" s="43"/>
      <c r="G12" s="39"/>
      <c r="H12" s="43"/>
      <c r="I12" s="1" t="str" cm="1">
        <f t="array" aca="1" ref="I12"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2" s="39" t="e" cm="1">
        <f t="array" aca="1" ref="J12" ca="1">INDIRECT("tbl_REF_Risques_TDSI[@[Taxo Cause "&amp;DocumentLanguage&amp;"]]")</f>
        <v>#REF!</v>
      </c>
      <c r="K12" s="39" t="e" cm="1">
        <f t="array" aca="1" ref="K12" ca="1">INDIRECT("tbl_REF_Risques_TDSI[@[Taxo Risk "&amp;DocumentLanguage&amp;"]]")</f>
        <v>#REF!</v>
      </c>
      <c r="L12" s="39" t="e" cm="1">
        <f t="array" aca="1" ref="L12" ca="1">INDIRECT("tbl_REF_Risques_TDSI[@[Taxo Impact "&amp;DocumentLanguage&amp;"]]")</f>
        <v>#REF!</v>
      </c>
      <c r="M12" s="52"/>
      <c r="N12" s="63" t="e" cm="1">
        <f t="array" aca="1" ref="N12"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2" s="38" t="e" cm="1">
        <f t="array" aca="1" ref="O12" ca="1">_xlfn.LET(
 _xlpm.raw,_xlfn.TEXTSPLIT(M12,CHAR(10)),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2" s="38"/>
      <c r="Q12" s="10" t="e">
        <f ca="1">INDEX(INDIRECT("RiskResid_"&amp;DocumentLanguage),MATCH(tbl_Risks[[#This Row],[Niveau Risque Inhérent
Inherent Risk Level]], INDIRECT("niv_risk_"&amp;DocumentLanguage), 0),MATCH(tbl_Risks[[#This Row],[Efficacité globale 
Global efficiency]], INDIRECT("effglob_"&amp;DocumentLanguage), 0))</f>
        <v>#N/A</v>
      </c>
      <c r="R12" s="38"/>
      <c r="S12" s="10" t="e">
        <f ca="1">INDEX(INDIRECT("RiskResid_"&amp;DocumentLanguage),MATCH(tbl_Risks[[#This Row],[Niveau Risque Inhérent
Inherent Risk Level]], INDIRECT("niv_risk_"&amp;DocumentLanguage), 0),MATCH(tbl_Risks[[#This Row],[Efficacité finale
Final efficiency]], INDIRECT("effglob_"&amp;DocumentLanguage), 0))</f>
        <v>#N/A</v>
      </c>
    </row>
    <row r="13" spans="1:21">
      <c r="A13" s="38"/>
      <c r="B13" s="38" t="s">
        <v>91</v>
      </c>
      <c r="C13" s="39" t="e" cm="1">
        <f t="array" aca="1" ref="C13" ca="1">INDIRECT("tbl_REF_Risques_TDSI[@[Risk Scenario Title "&amp;DocumentLanguage&amp;"]]")</f>
        <v>#REF!</v>
      </c>
      <c r="D13" s="39" t="e" cm="1">
        <f t="array" aca="1" ref="D13" ca="1">INDIRECT("tbl_REF_Risques_TDSI[@[Risk Scenario Description "&amp;DocumentLanguage&amp;"]]")</f>
        <v>#REF!</v>
      </c>
      <c r="E13" s="41"/>
      <c r="F13" s="37"/>
      <c r="G13" s="39"/>
      <c r="H13" s="43"/>
      <c r="I13" s="1" t="str" cm="1">
        <f t="array" aca="1" ref="I13"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3" s="39" t="e" cm="1">
        <f t="array" aca="1" ref="J13" ca="1">INDIRECT("tbl_REF_Risques_TDSI[@[Taxo Cause "&amp;DocumentLanguage&amp;"]]")</f>
        <v>#REF!</v>
      </c>
      <c r="K13" s="39" t="e" cm="1">
        <f t="array" aca="1" ref="K13" ca="1">INDIRECT("tbl_REF_Risques_TDSI[@[Taxo Risk "&amp;DocumentLanguage&amp;"]]")</f>
        <v>#REF!</v>
      </c>
      <c r="L13" s="39" t="e" cm="1">
        <f t="array" aca="1" ref="L13" ca="1">INDIRECT("tbl_REF_Risques_TDSI[@[Taxo Impact "&amp;DocumentLanguage&amp;"]]")</f>
        <v>#REF!</v>
      </c>
      <c r="M13" s="49"/>
      <c r="N13" s="63" t="e" cm="1">
        <f t="array" aca="1" ref="N13"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3" s="38" t="e" cm="1">
        <f t="array" aca="1" ref="O13" ca="1">_xlfn.LET(
 _xlpm.raw,_xlfn.TEXTSPLIT(M13,CHAR(10)),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3" s="38"/>
      <c r="Q13" s="10" t="e">
        <f ca="1">INDEX(INDIRECT("RiskResid_"&amp;DocumentLanguage),MATCH(tbl_Risks[[#This Row],[Niveau Risque Inhérent
Inherent Risk Level]], INDIRECT("niv_risk_"&amp;DocumentLanguage), 0),MATCH(tbl_Risks[[#This Row],[Efficacité globale 
Global efficiency]], INDIRECT("effglob_"&amp;DocumentLanguage), 0))</f>
        <v>#N/A</v>
      </c>
      <c r="R13" s="38"/>
      <c r="S13" s="10" t="e">
        <f ca="1">INDEX(INDIRECT("RiskResid_"&amp;DocumentLanguage),MATCH(tbl_Risks[[#This Row],[Niveau Risque Inhérent
Inherent Risk Level]], INDIRECT("niv_risk_"&amp;DocumentLanguage), 0),MATCH(tbl_Risks[[#This Row],[Efficacité finale
Final efficiency]], INDIRECT("effglob_"&amp;DocumentLanguage), 0))</f>
        <v>#N/A</v>
      </c>
    </row>
    <row r="14" spans="1:21">
      <c r="A14" s="38"/>
      <c r="B14" s="38" t="s">
        <v>92</v>
      </c>
      <c r="C14" s="39" t="e" cm="1">
        <f t="array" aca="1" ref="C14" ca="1">INDIRECT("tbl_REF_Risques_TDSI[@[Risk Scenario Title "&amp;DocumentLanguage&amp;"]]")</f>
        <v>#REF!</v>
      </c>
      <c r="D14" s="39" t="e" cm="1">
        <f t="array" aca="1" ref="D14" ca="1">INDIRECT("tbl_REF_Risques_TDSI[@[Risk Scenario Description "&amp;DocumentLanguage&amp;"]]")</f>
        <v>#REF!</v>
      </c>
      <c r="E14" s="41"/>
      <c r="F14" s="43"/>
      <c r="G14" s="39"/>
      <c r="H14" s="43"/>
      <c r="I14" s="1" t="str" cm="1">
        <f t="array" aca="1" ref="I14"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4" s="39" t="e" cm="1">
        <f t="array" aca="1" ref="J14" ca="1">INDIRECT("tbl_REF_Risques_TDSI[@[Taxo Cause "&amp;DocumentLanguage&amp;"]]")</f>
        <v>#REF!</v>
      </c>
      <c r="K14" s="39" t="e" cm="1">
        <f t="array" aca="1" ref="K14" ca="1">INDIRECT("tbl_REF_Risques_TDSI[@[Taxo Risk "&amp;DocumentLanguage&amp;"]]")</f>
        <v>#REF!</v>
      </c>
      <c r="L14" s="39" t="e" cm="1">
        <f t="array" aca="1" ref="L14" ca="1">INDIRECT("tbl_REF_Risques_TDSI[@[Taxo Impact "&amp;DocumentLanguage&amp;"]]")</f>
        <v>#REF!</v>
      </c>
      <c r="M14" s="52"/>
      <c r="N14" s="63" t="e" cm="1">
        <f t="array" aca="1" ref="N14"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4" s="38" t="e" cm="1">
        <f t="array" aca="1" ref="O14" ca="1">_xlfn.LET(
 _xlpm.raw,_xlfn.TEXTSPLIT(M14,CHAR(10)),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4" s="38"/>
      <c r="Q14" s="10" t="e">
        <f ca="1">INDEX(INDIRECT("RiskResid_"&amp;DocumentLanguage),MATCH(tbl_Risks[[#This Row],[Niveau Risque Inhérent
Inherent Risk Level]], INDIRECT("niv_risk_"&amp;DocumentLanguage), 0),MATCH(tbl_Risks[[#This Row],[Efficacité globale 
Global efficiency]], INDIRECT("effglob_"&amp;DocumentLanguage), 0))</f>
        <v>#N/A</v>
      </c>
      <c r="R14" s="38"/>
      <c r="S14" s="10" t="e">
        <f ca="1">INDEX(INDIRECT("RiskResid_"&amp;DocumentLanguage),MATCH(tbl_Risks[[#This Row],[Niveau Risque Inhérent
Inherent Risk Level]], INDIRECT("niv_risk_"&amp;DocumentLanguage), 0),MATCH(tbl_Risks[[#This Row],[Efficacité finale
Final efficiency]], INDIRECT("effglob_"&amp;DocumentLanguage), 0))</f>
        <v>#N/A</v>
      </c>
    </row>
    <row r="15" spans="1:21">
      <c r="A15" s="38"/>
      <c r="B15" s="38" t="s">
        <v>93</v>
      </c>
      <c r="C15" s="39" t="e" cm="1">
        <f t="array" aca="1" ref="C15" ca="1">INDIRECT("tbl_REF_Risques_TDSI[@[Risk Scenario Title "&amp;DocumentLanguage&amp;"]]")</f>
        <v>#REF!</v>
      </c>
      <c r="D15" s="39" t="e" cm="1">
        <f t="array" aca="1" ref="D15" ca="1">INDIRECT("tbl_REF_Risques_TDSI[@[Risk Scenario Description "&amp;DocumentLanguage&amp;"]]")</f>
        <v>#REF!</v>
      </c>
      <c r="E15" s="41"/>
      <c r="F15" s="43"/>
      <c r="G15" s="39"/>
      <c r="H15" s="43"/>
      <c r="I15" s="1" t="str" cm="1">
        <f t="array" aca="1" ref="I15"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5" s="39" t="e" cm="1">
        <f t="array" aca="1" ref="J15" ca="1">INDIRECT("tbl_REF_Risques_TDSI[@[Taxo Cause "&amp;DocumentLanguage&amp;"]]")</f>
        <v>#REF!</v>
      </c>
      <c r="K15" s="39" t="e" cm="1">
        <f t="array" aca="1" ref="K15" ca="1">INDIRECT("tbl_REF_Risques_TDSI[@[Taxo Risk "&amp;DocumentLanguage&amp;"]]")</f>
        <v>#REF!</v>
      </c>
      <c r="L15" s="39" t="e" cm="1">
        <f t="array" aca="1" ref="L15" ca="1">INDIRECT("tbl_REF_Risques_TDSI[@[Taxo Impact "&amp;DocumentLanguage&amp;"]]")</f>
        <v>#REF!</v>
      </c>
      <c r="M15" s="49"/>
      <c r="N15" s="63" t="e" cm="1">
        <f t="array" aca="1" ref="N15"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5" s="38" t="e" cm="1">
        <f t="array" aca="1" ref="O15" ca="1">_xlfn.LET(
 _xlpm.raw,_xlfn.TEXTSPLIT(M15,CHAR(10)),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5" s="38"/>
      <c r="Q15" s="10" t="e">
        <f ca="1">INDEX(INDIRECT("RiskResid_"&amp;DocumentLanguage),MATCH(tbl_Risks[[#This Row],[Niveau Risque Inhérent
Inherent Risk Level]], INDIRECT("niv_risk_"&amp;DocumentLanguage), 0),MATCH(tbl_Risks[[#This Row],[Efficacité globale 
Global efficiency]], INDIRECT("effglob_"&amp;DocumentLanguage), 0))</f>
        <v>#N/A</v>
      </c>
      <c r="R15" s="38"/>
      <c r="S15" s="10" t="e">
        <f ca="1">INDEX(INDIRECT("RiskResid_"&amp;DocumentLanguage),MATCH(tbl_Risks[[#This Row],[Niveau Risque Inhérent
Inherent Risk Level]], INDIRECT("niv_risk_"&amp;DocumentLanguage), 0),MATCH(tbl_Risks[[#This Row],[Efficacité finale
Final efficiency]], INDIRECT("effglob_"&amp;DocumentLanguage), 0))</f>
        <v>#N/A</v>
      </c>
    </row>
    <row r="16" spans="1:21">
      <c r="A16" s="38"/>
      <c r="B16" s="38" t="s">
        <v>94</v>
      </c>
      <c r="C16" s="39" t="e" cm="1">
        <f t="array" aca="1" ref="C16" ca="1">INDIRECT("tbl_REF_Risques_TDSI[@[Risk Scenario Title "&amp;DocumentLanguage&amp;"]]")</f>
        <v>#REF!</v>
      </c>
      <c r="D16" s="39" t="e" cm="1">
        <f t="array" aca="1" ref="D16" ca="1">INDIRECT("tbl_REF_Risques_TDSI[@[Risk Scenario Description "&amp;DocumentLanguage&amp;"]]")</f>
        <v>#REF!</v>
      </c>
      <c r="E16" s="41"/>
      <c r="F16" s="39"/>
      <c r="G16" s="39"/>
      <c r="H16" s="39"/>
      <c r="I16" s="1" t="str" cm="1">
        <f t="array" aca="1" ref="I16"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6" s="39" t="e" cm="1">
        <f t="array" aca="1" ref="J16" ca="1">INDIRECT("tbl_REF_Risques_TDSI[@[Taxo Cause "&amp;DocumentLanguage&amp;"]]")</f>
        <v>#REF!</v>
      </c>
      <c r="K16" s="39" t="e" cm="1">
        <f t="array" aca="1" ref="K16" ca="1">INDIRECT("tbl_REF_Risques_TDSI[@[Taxo Risk "&amp;DocumentLanguage&amp;"]]")</f>
        <v>#REF!</v>
      </c>
      <c r="L16" s="39" t="e" cm="1">
        <f t="array" aca="1" ref="L16" ca="1">INDIRECT("tbl_REF_Risques_TDSI[@[Taxo Impact "&amp;DocumentLanguage&amp;"]]")</f>
        <v>#REF!</v>
      </c>
      <c r="M16" s="49"/>
      <c r="N16" s="63" t="e" cm="1">
        <f t="array" aca="1" ref="N16"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6" s="38" t="e" cm="1">
        <f t="array" aca="1" ref="O16" ca="1">_xlfn.LET(
 _xlpm.raw,_xlfn.TEXTSPLIT(M16,CHAR(10)),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6" s="38"/>
      <c r="Q16" s="10" t="e">
        <f ca="1">INDEX(INDIRECT("RiskResid_"&amp;DocumentLanguage),MATCH(tbl_Risks[[#This Row],[Niveau Risque Inhérent
Inherent Risk Level]], INDIRECT("niv_risk_"&amp;DocumentLanguage), 0),MATCH(tbl_Risks[[#This Row],[Efficacité globale 
Global efficiency]], INDIRECT("effglob_"&amp;DocumentLanguage), 0))</f>
        <v>#N/A</v>
      </c>
      <c r="R16" s="38"/>
      <c r="S16" s="10" t="e">
        <f ca="1">INDEX(INDIRECT("RiskResid_"&amp;DocumentLanguage),MATCH(tbl_Risks[[#This Row],[Niveau Risque Inhérent
Inherent Risk Level]], INDIRECT("niv_risk_"&amp;DocumentLanguage), 0),MATCH(tbl_Risks[[#This Row],[Efficacité finale
Final efficiency]], INDIRECT("effglob_"&amp;DocumentLanguage), 0))</f>
        <v>#N/A</v>
      </c>
    </row>
    <row r="17" spans="1:19">
      <c r="A17" s="38"/>
      <c r="B17" s="38"/>
      <c r="C17" s="39" t="e" cm="1">
        <f t="array" aca="1" ref="C17" ca="1">INDIRECT("tbl_REF_Risques_TDSI[@[Risk Scenario Title "&amp;DocumentLanguage&amp;"]]")</f>
        <v>#REF!</v>
      </c>
      <c r="D17" s="40" t="e" cm="1">
        <f t="array" aca="1" ref="D17" ca="1">INDIRECT("tbl_REF_Risques_TDSI[@[Risk Scenario Description "&amp;DocumentLanguage&amp;"]]")</f>
        <v>#REF!</v>
      </c>
      <c r="E17" s="41"/>
      <c r="F17" s="39"/>
      <c r="G17" s="39"/>
      <c r="H17" s="39"/>
      <c r="I17" s="1" t="str" cm="1">
        <f t="array" aca="1" ref="I17"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7" s="39" t="e" cm="1">
        <f t="array" aca="1" ref="J17" ca="1">INDIRECT("tbl_REF_Risques_TDSI[@[Taxo Cause "&amp;DocumentLanguage&amp;"]]")</f>
        <v>#REF!</v>
      </c>
      <c r="K17" s="39" t="e" cm="1">
        <f t="array" aca="1" ref="K17" ca="1">INDIRECT("tbl_REF_Risques_TDSI[@[Taxo Risk "&amp;DocumentLanguage&amp;"]]")</f>
        <v>#REF!</v>
      </c>
      <c r="L17" s="39" t="e" cm="1">
        <f t="array" aca="1" ref="L17" ca="1">INDIRECT("tbl_REF_Risques_TDSI[@[Taxo Impact "&amp;DocumentLanguage&amp;"]]")</f>
        <v>#REF!</v>
      </c>
      <c r="M17" s="49"/>
      <c r="N17" s="63" t="e" cm="1">
        <f t="array" aca="1" ref="N17"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7" s="38" t="e" cm="1">
        <f t="array" aca="1" ref="O17" ca="1">_xlfn.LET(
 _xlpm.raw,_xlfn.TEXTSPLIT(M17,CHAR(10)),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7" s="38"/>
      <c r="Q17" s="10" t="e">
        <f ca="1">INDEX(INDIRECT("RiskResid_"&amp;DocumentLanguage),MATCH(tbl_Risks[[#This Row],[Niveau Risque Inhérent
Inherent Risk Level]], INDIRECT("niv_risk_"&amp;DocumentLanguage), 0),MATCH(tbl_Risks[[#This Row],[Efficacité globale 
Global efficiency]], INDIRECT("effglob_"&amp;DocumentLanguage), 0))</f>
        <v>#N/A</v>
      </c>
      <c r="R17" s="38"/>
      <c r="S17" s="10" t="e">
        <f ca="1">INDEX(INDIRECT("RiskResid_"&amp;DocumentLanguage),MATCH(tbl_Risks[[#This Row],[Niveau Risque Inhérent
Inherent Risk Level]], INDIRECT("niv_risk_"&amp;DocumentLanguage), 0),MATCH(tbl_Risks[[#This Row],[Efficacité finale
Final efficiency]], INDIRECT("effglob_"&amp;DocumentLanguage), 0))</f>
        <v>#N/A</v>
      </c>
    </row>
    <row r="18" spans="1:19">
      <c r="A18" s="38"/>
      <c r="B18" s="38"/>
      <c r="C18" s="39" t="e" cm="1">
        <f t="array" aca="1" ref="C18" ca="1">INDIRECT("tbl_REF_Risques_TDSI[@[Risk Scenario Title "&amp;DocumentLanguage&amp;"]]")</f>
        <v>#REF!</v>
      </c>
      <c r="D18" s="39" t="e" cm="1">
        <f t="array" aca="1" ref="D18" ca="1">INDIRECT("tbl_REF_Risques_TDSI[@[Risk Scenario Description "&amp;DocumentLanguage&amp;"]]")</f>
        <v>#REF!</v>
      </c>
      <c r="E18" s="41"/>
      <c r="F18" s="39"/>
      <c r="G18" s="39"/>
      <c r="H18" s="39"/>
      <c r="I18" s="1" t="str" cm="1">
        <f t="array" aca="1" ref="I18"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8" s="39" t="e" cm="1">
        <f t="array" aca="1" ref="J18" ca="1">INDIRECT("tbl_REF_Risques_TDSI[@[Taxo Cause "&amp;DocumentLanguage&amp;"]]")</f>
        <v>#REF!</v>
      </c>
      <c r="K18" s="39" t="e" cm="1">
        <f t="array" aca="1" ref="K18" ca="1">INDIRECT("tbl_REF_Risques_TDSI[@[Taxo Risk "&amp;DocumentLanguage&amp;"]]")</f>
        <v>#REF!</v>
      </c>
      <c r="L18" s="39" t="e" cm="1">
        <f t="array" aca="1" ref="L18" ca="1">INDIRECT("tbl_REF_Risques_TDSI[@[Taxo Impact "&amp;DocumentLanguage&amp;"]]")</f>
        <v>#REF!</v>
      </c>
      <c r="M18" s="49"/>
      <c r="N18" s="63" t="e" cm="1">
        <f t="array" aca="1" ref="N18"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8" s="38" t="e" cm="1">
        <f t="array" aca="1" ref="O18" ca="1">_xlfn.LET(
 _xlpm.raw,_xlfn.TEXTSPLIT(M18,CHAR(10)),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8" s="38"/>
      <c r="Q18" s="10" t="e">
        <f ca="1">INDEX(INDIRECT("RiskResid_"&amp;DocumentLanguage),MATCH(tbl_Risks[[#This Row],[Niveau Risque Inhérent
Inherent Risk Level]], INDIRECT("niv_risk_"&amp;DocumentLanguage), 0),MATCH(tbl_Risks[[#This Row],[Efficacité globale 
Global efficiency]], INDIRECT("effglob_"&amp;DocumentLanguage), 0))</f>
        <v>#N/A</v>
      </c>
      <c r="R18" s="38"/>
      <c r="S18" s="10" t="e">
        <f ca="1">INDEX(INDIRECT("RiskResid_"&amp;DocumentLanguage),MATCH(tbl_Risks[[#This Row],[Niveau Risque Inhérent
Inherent Risk Level]], INDIRECT("niv_risk_"&amp;DocumentLanguage), 0),MATCH(tbl_Risks[[#This Row],[Efficacité finale
Final efficiency]], INDIRECT("effglob_"&amp;DocumentLanguage), 0))</f>
        <v>#N/A</v>
      </c>
    </row>
    <row r="19" spans="1:19">
      <c r="A19" s="38"/>
      <c r="B19" s="38"/>
      <c r="C19" s="39" t="e" cm="1">
        <f t="array" aca="1" ref="C19" ca="1">INDIRECT("tbl_REF_Risques_TDSI[@[Risk Scenario Title "&amp;DocumentLanguage&amp;"]]")</f>
        <v>#REF!</v>
      </c>
      <c r="D19" s="39" t="e" cm="1">
        <f t="array" aca="1" ref="D19" ca="1">INDIRECT("tbl_REF_Risques_TDSI[@[Risk Scenario Description "&amp;DocumentLanguage&amp;"]]")</f>
        <v>#REF!</v>
      </c>
      <c r="E19" s="41"/>
      <c r="F19" s="39"/>
      <c r="G19" s="39"/>
      <c r="H19" s="39"/>
      <c r="I19" s="1" t="str" cm="1">
        <f t="array" aca="1" ref="I19"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9" s="39" t="e" cm="1">
        <f t="array" aca="1" ref="J19" ca="1">INDIRECT("tbl_REF_Risques_TDSI[@[Taxo Cause "&amp;DocumentLanguage&amp;"]]")</f>
        <v>#REF!</v>
      </c>
      <c r="K19" s="39" t="e" cm="1">
        <f t="array" aca="1" ref="K19" ca="1">INDIRECT("tbl_REF_Risques_TDSI[@[Taxo Risk "&amp;DocumentLanguage&amp;"]]")</f>
        <v>#REF!</v>
      </c>
      <c r="L19" s="39" t="e" cm="1">
        <f t="array" aca="1" ref="L19" ca="1">INDIRECT("tbl_REF_Risques_TDSI[@[Taxo Impact "&amp;DocumentLanguage&amp;"]]")</f>
        <v>#REF!</v>
      </c>
      <c r="M19" s="49"/>
      <c r="N19" s="63" t="e" cm="1">
        <f t="array" aca="1" ref="N19"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9" s="38" t="e" cm="1">
        <f t="array" aca="1" ref="O19" ca="1">_xlfn.LET(
 _xlpm.raw,_xlfn.TEXTSPLIT(M19,CHAR(10)),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9" s="38"/>
      <c r="Q19" s="10" t="e">
        <f ca="1">INDEX(INDIRECT("RiskResid_"&amp;DocumentLanguage),MATCH(tbl_Risks[[#This Row],[Niveau Risque Inhérent
Inherent Risk Level]], INDIRECT("niv_risk_"&amp;DocumentLanguage), 0),MATCH(tbl_Risks[[#This Row],[Efficacité globale 
Global efficiency]], INDIRECT("effglob_"&amp;DocumentLanguage), 0))</f>
        <v>#N/A</v>
      </c>
      <c r="R19" s="38"/>
      <c r="S19" s="10" t="e">
        <f ca="1">INDEX(INDIRECT("RiskResid_"&amp;DocumentLanguage),MATCH(tbl_Risks[[#This Row],[Niveau Risque Inhérent
Inherent Risk Level]], INDIRECT("niv_risk_"&amp;DocumentLanguage), 0),MATCH(tbl_Risks[[#This Row],[Efficacité finale
Final efficiency]], INDIRECT("effglob_"&amp;DocumentLanguage), 0))</f>
        <v>#N/A</v>
      </c>
    </row>
    <row r="20" spans="1:19">
      <c r="A20" s="38"/>
      <c r="B20" s="38"/>
      <c r="C20" s="39" t="e" cm="1">
        <f t="array" aca="1" ref="C20" ca="1">INDIRECT("tbl_REF_Risques_TDSI[@[Risk Scenario Title "&amp;DocumentLanguage&amp;"]]")</f>
        <v>#REF!</v>
      </c>
      <c r="D20" s="39" t="e" cm="1">
        <f t="array" aca="1" ref="D20" ca="1">INDIRECT("tbl_REF_Risques_TDSI[@[Risk Scenario Description "&amp;DocumentLanguage&amp;"]]")</f>
        <v>#REF!</v>
      </c>
      <c r="E20" s="41"/>
      <c r="F20" s="39"/>
      <c r="G20" s="39"/>
      <c r="H20" s="39"/>
      <c r="I20" s="1" t="str" cm="1">
        <f t="array" aca="1" ref="I20"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20" s="39" t="e" cm="1">
        <f t="array" aca="1" ref="J20" ca="1">INDIRECT("tbl_REF_Risques_TDSI[@[Taxo Cause "&amp;DocumentLanguage&amp;"]]")</f>
        <v>#REF!</v>
      </c>
      <c r="K20" s="39" t="e" cm="1">
        <f t="array" aca="1" ref="K20" ca="1">INDIRECT("tbl_REF_Risques_TDSI[@[Taxo Risk "&amp;DocumentLanguage&amp;"]]")</f>
        <v>#REF!</v>
      </c>
      <c r="L20" s="39" t="e" cm="1">
        <f t="array" aca="1" ref="L20" ca="1">INDIRECT("tbl_REF_Risques_TDSI[@[Taxo Impact "&amp;DocumentLanguage&amp;"]]")</f>
        <v>#REF!</v>
      </c>
      <c r="M20" s="49"/>
      <c r="N20" s="63" t="e" cm="1">
        <f t="array" aca="1" ref="N20"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20" s="38" t="e" cm="1">
        <f t="array" aca="1" ref="O20" ca="1">_xlfn.LET(
 _xlpm.raw,_xlfn.TEXTSPLIT(M20,CHAR(10)),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20" s="38"/>
      <c r="Q20" s="10" t="e">
        <f ca="1">INDEX(INDIRECT("RiskResid_"&amp;DocumentLanguage),MATCH(tbl_Risks[[#This Row],[Niveau Risque Inhérent
Inherent Risk Level]], INDIRECT("niv_risk_"&amp;DocumentLanguage), 0),MATCH(tbl_Risks[[#This Row],[Efficacité globale 
Global efficiency]], INDIRECT("effglob_"&amp;DocumentLanguage), 0))</f>
        <v>#N/A</v>
      </c>
      <c r="R20" s="38"/>
      <c r="S20" s="10" t="e">
        <f ca="1">INDEX(INDIRECT("RiskResid_"&amp;DocumentLanguage),MATCH(tbl_Risks[[#This Row],[Niveau Risque Inhérent
Inherent Risk Level]], INDIRECT("niv_risk_"&amp;DocumentLanguage), 0),MATCH(tbl_Risks[[#This Row],[Efficacité finale
Final efficiency]], INDIRECT("effglob_"&amp;DocumentLanguage), 0))</f>
        <v>#N/A</v>
      </c>
    </row>
    <row r="21" spans="1:19">
      <c r="A21" s="38"/>
      <c r="B21" s="38"/>
      <c r="C21" s="39" t="e" cm="1">
        <f t="array" aca="1" ref="C21" ca="1">INDIRECT("tbl_REF_Risques_TDSI[@[Risk Scenario Title "&amp;DocumentLanguage&amp;"]]")</f>
        <v>#REF!</v>
      </c>
      <c r="D21" s="39" t="e" cm="1">
        <f t="array" aca="1" ref="D21" ca="1">INDIRECT("tbl_REF_Risques_TDSI[@[Risk Scenario Description "&amp;DocumentLanguage&amp;"]]")</f>
        <v>#REF!</v>
      </c>
      <c r="E21" s="41"/>
      <c r="F21" s="39"/>
      <c r="G21" s="39"/>
      <c r="H21" s="39"/>
      <c r="I21" s="1" t="str" cm="1">
        <f t="array" aca="1" ref="I21"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21" s="39" t="e" cm="1">
        <f t="array" aca="1" ref="J21" ca="1">INDIRECT("tbl_REF_Risques_TDSI[@[Taxo Cause "&amp;DocumentLanguage&amp;"]]")</f>
        <v>#REF!</v>
      </c>
      <c r="K21" s="39" t="e" cm="1">
        <f t="array" aca="1" ref="K21" ca="1">INDIRECT("tbl_REF_Risques_TDSI[@[Taxo Risk "&amp;DocumentLanguage&amp;"]]")</f>
        <v>#REF!</v>
      </c>
      <c r="L21" s="39" t="e" cm="1">
        <f t="array" aca="1" ref="L21" ca="1">INDIRECT("tbl_REF_Risques_TDSI[@[Taxo Impact "&amp;DocumentLanguage&amp;"]]")</f>
        <v>#REF!</v>
      </c>
      <c r="M21" s="49"/>
      <c r="N21" s="63" t="e" cm="1">
        <f t="array" aca="1" ref="N21"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21" s="38" t="e" cm="1">
        <f t="array" aca="1" ref="O21" ca="1">_xlfn.LET(
 _xlpm.raw,_xlfn.TEXTSPLIT(M21,CHAR(10)),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21" s="38"/>
      <c r="Q21" s="10" t="e">
        <f ca="1">INDEX(INDIRECT("RiskResid_"&amp;DocumentLanguage),MATCH(tbl_Risks[[#This Row],[Niveau Risque Inhérent
Inherent Risk Level]], INDIRECT("niv_risk_"&amp;DocumentLanguage), 0),MATCH(tbl_Risks[[#This Row],[Efficacité globale 
Global efficiency]], INDIRECT("effglob_"&amp;DocumentLanguage), 0))</f>
        <v>#N/A</v>
      </c>
      <c r="R21" s="38"/>
      <c r="S21" s="10" t="e">
        <f ca="1">INDEX(INDIRECT("RiskResid_"&amp;DocumentLanguage),MATCH(tbl_Risks[[#This Row],[Niveau Risque Inhérent
Inherent Risk Level]], INDIRECT("niv_risk_"&amp;DocumentLanguage), 0),MATCH(tbl_Risks[[#This Row],[Efficacité finale
Final efficiency]], INDIRECT("effglob_"&amp;DocumentLanguage), 0))</f>
        <v>#N/A</v>
      </c>
    </row>
    <row r="22" spans="1:19">
      <c r="A22" s="38"/>
      <c r="B22" s="38"/>
      <c r="C22" s="39" t="e" cm="1">
        <f t="array" aca="1" ref="C22" ca="1">INDIRECT("tbl_REF_Risques_TDSI[@[Risk Scenario Title "&amp;DocumentLanguage&amp;"]]")</f>
        <v>#REF!</v>
      </c>
      <c r="D22" s="39" t="e" cm="1">
        <f t="array" aca="1" ref="D22" ca="1">INDIRECT("tbl_REF_Risques_TDSI[@[Risk Scenario Description "&amp;DocumentLanguage&amp;"]]")</f>
        <v>#REF!</v>
      </c>
      <c r="E22" s="41"/>
      <c r="F22" s="39"/>
      <c r="G22" s="39"/>
      <c r="H22" s="39"/>
      <c r="I22" s="1" t="str" cm="1">
        <f t="array" aca="1" ref="I22"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22" s="39" t="e" cm="1">
        <f t="array" aca="1" ref="J22" ca="1">INDIRECT("tbl_REF_Risques_TDSI[@[Taxo Cause "&amp;DocumentLanguage&amp;"]]")</f>
        <v>#REF!</v>
      </c>
      <c r="K22" s="39" t="e" cm="1">
        <f t="array" aca="1" ref="K22" ca="1">INDIRECT("tbl_REF_Risques_TDSI[@[Taxo Risk "&amp;DocumentLanguage&amp;"]]")</f>
        <v>#REF!</v>
      </c>
      <c r="L22" s="39" t="e" cm="1">
        <f t="array" aca="1" ref="L22" ca="1">INDIRECT("tbl_REF_Risques_TDSI[@[Taxo Impact "&amp;DocumentLanguage&amp;"]]")</f>
        <v>#REF!</v>
      </c>
      <c r="M22" s="49"/>
      <c r="N22" s="63" t="e" cm="1">
        <f t="array" aca="1" ref="N22"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22" s="38" t="e" cm="1">
        <f t="array" aca="1" ref="O22" ca="1">_xlfn.LET(
 _xlpm.raw,_xlfn.TEXTSPLIT(M22,CHAR(10)),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22" s="38"/>
      <c r="Q22" s="10" t="e">
        <f ca="1">INDEX(INDIRECT("RiskResid_"&amp;DocumentLanguage),MATCH(tbl_Risks[[#This Row],[Niveau Risque Inhérent
Inherent Risk Level]], INDIRECT("niv_risk_"&amp;DocumentLanguage), 0),MATCH(tbl_Risks[[#This Row],[Efficacité globale 
Global efficiency]], INDIRECT("effglob_"&amp;DocumentLanguage), 0))</f>
        <v>#N/A</v>
      </c>
      <c r="R22" s="38"/>
      <c r="S22" s="10" t="e">
        <f ca="1">INDEX(INDIRECT("RiskResid_"&amp;DocumentLanguage),MATCH(tbl_Risks[[#This Row],[Niveau Risque Inhérent
Inherent Risk Level]], INDIRECT("niv_risk_"&amp;DocumentLanguage), 0),MATCH(tbl_Risks[[#This Row],[Efficacité finale
Final efficiency]], INDIRECT("effglob_"&amp;DocumentLanguage), 0))</f>
        <v>#N/A</v>
      </c>
    </row>
    <row r="23" spans="1:19">
      <c r="A23" s="38"/>
      <c r="B23" s="38"/>
      <c r="C23" s="39" t="e" cm="1">
        <f t="array" aca="1" ref="C23" ca="1">INDIRECT("tbl_REF_Risques_TDSI[@[Risk Scenario Title "&amp;DocumentLanguage&amp;"]]")</f>
        <v>#REF!</v>
      </c>
      <c r="D23" s="39" t="e" cm="1">
        <f t="array" aca="1" ref="D23" ca="1">INDIRECT("tbl_REF_Risques_TDSI[@[Risk Scenario Description "&amp;DocumentLanguage&amp;"]]")</f>
        <v>#REF!</v>
      </c>
      <c r="E23" s="41"/>
      <c r="F23" s="39"/>
      <c r="G23" s="39"/>
      <c r="H23" s="39"/>
      <c r="I23" s="1" t="str" cm="1">
        <f t="array" aca="1" ref="I23"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23" s="39" t="e" cm="1">
        <f t="array" aca="1" ref="J23" ca="1">INDIRECT("tbl_REF_Risques_TDSI[@[Taxo Cause "&amp;DocumentLanguage&amp;"]]")</f>
        <v>#REF!</v>
      </c>
      <c r="K23" s="39" t="e" cm="1">
        <f t="array" aca="1" ref="K23" ca="1">INDIRECT("tbl_REF_Risques_TDSI[@[Taxo Risk "&amp;DocumentLanguage&amp;"]]")</f>
        <v>#REF!</v>
      </c>
      <c r="L23" s="39" t="e" cm="1">
        <f t="array" aca="1" ref="L23" ca="1">INDIRECT("tbl_REF_Risques_TDSI[@[Taxo Impact "&amp;DocumentLanguage&amp;"]]")</f>
        <v>#REF!</v>
      </c>
      <c r="M23" s="49"/>
      <c r="N23" s="63" t="e" cm="1">
        <f t="array" aca="1" ref="N23"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23" s="38" t="e" cm="1">
        <f t="array" aca="1" ref="O23" ca="1">_xlfn.LET(
 _xlpm.raw,_xlfn.TEXTSPLIT(M23,CHAR(10)),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23" s="38"/>
      <c r="Q23" s="10" t="e">
        <f ca="1">INDEX(INDIRECT("RiskResid_"&amp;DocumentLanguage),MATCH(tbl_Risks[[#This Row],[Niveau Risque Inhérent
Inherent Risk Level]], INDIRECT("niv_risk_"&amp;DocumentLanguage), 0),MATCH(tbl_Risks[[#This Row],[Efficacité globale 
Global efficiency]], INDIRECT("effglob_"&amp;DocumentLanguage), 0))</f>
        <v>#N/A</v>
      </c>
      <c r="R23" s="38"/>
      <c r="S23" s="10" t="e">
        <f ca="1">INDEX(INDIRECT("RiskResid_"&amp;DocumentLanguage),MATCH(tbl_Risks[[#This Row],[Niveau Risque Inhérent
Inherent Risk Level]], INDIRECT("niv_risk_"&amp;DocumentLanguage), 0),MATCH(tbl_Risks[[#This Row],[Efficacité finale
Final efficiency]], INDIRECT("effglob_"&amp;DocumentLanguage), 0))</f>
        <v>#N/A</v>
      </c>
    </row>
    <row r="24" spans="1:19">
      <c r="A24" s="38"/>
      <c r="B24" s="38"/>
      <c r="C24" s="39" t="e" cm="1">
        <f t="array" aca="1" ref="C24" ca="1">INDIRECT("tbl_REF_Risques_TDSI[@[Risk Scenario Title "&amp;DocumentLanguage&amp;"]]")</f>
        <v>#REF!</v>
      </c>
      <c r="D24" s="39" t="e" cm="1">
        <f t="array" aca="1" ref="D24" ca="1">INDIRECT("tbl_REF_Risques_TDSI[@[Risk Scenario Description "&amp;DocumentLanguage&amp;"]]")</f>
        <v>#REF!</v>
      </c>
      <c r="E24" s="41"/>
      <c r="F24" s="39"/>
      <c r="G24" s="39"/>
      <c r="H24" s="39"/>
      <c r="I24" s="1" t="str" cm="1">
        <f t="array" aca="1" ref="I24"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24" s="39" t="e" cm="1">
        <f t="array" aca="1" ref="J24" ca="1">INDIRECT("tbl_REF_Risques_TDSI[@[Taxo Cause "&amp;DocumentLanguage&amp;"]]")</f>
        <v>#REF!</v>
      </c>
      <c r="K24" s="39" t="e" cm="1">
        <f t="array" aca="1" ref="K24" ca="1">INDIRECT("tbl_REF_Risques_TDSI[@[Taxo Risk "&amp;DocumentLanguage&amp;"]]")</f>
        <v>#REF!</v>
      </c>
      <c r="L24" s="39" t="e" cm="1">
        <f t="array" aca="1" ref="L24" ca="1">INDIRECT("tbl_REF_Risques_TDSI[@[Taxo Impact "&amp;DocumentLanguage&amp;"]]")</f>
        <v>#REF!</v>
      </c>
      <c r="M24" s="49"/>
      <c r="N24" s="63" t="e" cm="1">
        <f t="array" aca="1" ref="N24"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24" s="38" t="e" cm="1">
        <f t="array" aca="1" ref="O24" ca="1">_xlfn.LET(
 _xlpm.raw,_xlfn.TEXTSPLIT(M24,CHAR(10)),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24" s="38"/>
      <c r="Q24" s="10" t="e">
        <f ca="1">INDEX(INDIRECT("RiskResid_"&amp;DocumentLanguage),MATCH(tbl_Risks[[#This Row],[Niveau Risque Inhérent
Inherent Risk Level]], INDIRECT("niv_risk_"&amp;DocumentLanguage), 0),MATCH(tbl_Risks[[#This Row],[Efficacité globale 
Global efficiency]], INDIRECT("effglob_"&amp;DocumentLanguage), 0))</f>
        <v>#N/A</v>
      </c>
      <c r="R24" s="38"/>
      <c r="S24" s="10" t="e">
        <f ca="1">INDEX(INDIRECT("RiskResid_"&amp;DocumentLanguage),MATCH(tbl_Risks[[#This Row],[Niveau Risque Inhérent
Inherent Risk Level]], INDIRECT("niv_risk_"&amp;DocumentLanguage), 0),MATCH(tbl_Risks[[#This Row],[Efficacité finale
Final efficiency]], INDIRECT("effglob_"&amp;DocumentLanguage), 0))</f>
        <v>#N/A</v>
      </c>
    </row>
    <row r="25" spans="1:19">
      <c r="A25" s="38"/>
      <c r="B25" s="38"/>
      <c r="C25" s="39" t="e" cm="1">
        <f t="array" aca="1" ref="C25" ca="1">INDIRECT("tbl_REF_Risques_TDSI[@[Risk Scenario Title "&amp;DocumentLanguage&amp;"]]")</f>
        <v>#REF!</v>
      </c>
      <c r="D25" s="39" t="e" cm="1">
        <f t="array" aca="1" ref="D25" ca="1">INDIRECT("tbl_REF_Risques_TDSI[@[Risk Scenario Description "&amp;DocumentLanguage&amp;"]]")</f>
        <v>#REF!</v>
      </c>
      <c r="E25" s="41"/>
      <c r="F25" s="39"/>
      <c r="G25" s="39"/>
      <c r="H25" s="39"/>
      <c r="I25" s="1" t="str" cm="1">
        <f t="array" aca="1" ref="I25"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25" s="39" t="e" cm="1">
        <f t="array" aca="1" ref="J25" ca="1">INDIRECT("tbl_REF_Risques_TDSI[@[Taxo Cause "&amp;DocumentLanguage&amp;"]]")</f>
        <v>#REF!</v>
      </c>
      <c r="K25" s="39" t="e" cm="1">
        <f t="array" aca="1" ref="K25" ca="1">INDIRECT("tbl_REF_Risques_TDSI[@[Taxo Risk "&amp;DocumentLanguage&amp;"]]")</f>
        <v>#REF!</v>
      </c>
      <c r="L25" s="39" t="e" cm="1">
        <f t="array" aca="1" ref="L25" ca="1">INDIRECT("tbl_REF_Risques_TDSI[@[Taxo Impact "&amp;DocumentLanguage&amp;"]]")</f>
        <v>#REF!</v>
      </c>
      <c r="M25" s="49"/>
      <c r="N25" s="63" t="e" cm="1">
        <f t="array" aca="1" ref="N25"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25" s="38" t="e" cm="1">
        <f t="array" aca="1" ref="O25" ca="1">_xlfn.LET(
 _xlpm.raw,_xlfn.TEXTSPLIT(M25,CHAR(10)),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25" s="38"/>
      <c r="Q25" s="10" t="e">
        <f ca="1">INDEX(INDIRECT("RiskResid_"&amp;DocumentLanguage),MATCH(tbl_Risks[[#This Row],[Niveau Risque Inhérent
Inherent Risk Level]], INDIRECT("niv_risk_"&amp;DocumentLanguage), 0),MATCH(tbl_Risks[[#This Row],[Efficacité globale 
Global efficiency]], INDIRECT("effglob_"&amp;DocumentLanguage), 0))</f>
        <v>#N/A</v>
      </c>
      <c r="R25" s="38"/>
      <c r="S25" s="10" t="e">
        <f ca="1">INDEX(INDIRECT("RiskResid_"&amp;DocumentLanguage),MATCH(tbl_Risks[[#This Row],[Niveau Risque Inhérent
Inherent Risk Level]], INDIRECT("niv_risk_"&amp;DocumentLanguage), 0),MATCH(tbl_Risks[[#This Row],[Efficacité finale
Final efficiency]], INDIRECT("effglob_"&amp;DocumentLanguage), 0))</f>
        <v>#N/A</v>
      </c>
    </row>
    <row r="26" spans="1:19">
      <c r="A26" s="38"/>
      <c r="B26" s="38"/>
      <c r="C26" s="39" t="e" cm="1">
        <f t="array" aca="1" ref="C26" ca="1">INDIRECT("tbl_REF_Risques_TDSI[@[Risk Scenario Title "&amp;DocumentLanguage&amp;"]]")</f>
        <v>#REF!</v>
      </c>
      <c r="D26" s="39" t="e" cm="1">
        <f t="array" aca="1" ref="D26" ca="1">INDIRECT("tbl_REF_Risques_TDSI[@[Risk Scenario Description "&amp;DocumentLanguage&amp;"]]")</f>
        <v>#REF!</v>
      </c>
      <c r="E26" s="41"/>
      <c r="F26" s="39"/>
      <c r="G26" s="39"/>
      <c r="H26" s="39"/>
      <c r="I26" s="1" t="str" cm="1">
        <f t="array" aca="1" ref="I26"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26" s="39" t="e" cm="1">
        <f t="array" aca="1" ref="J26" ca="1">INDIRECT("tbl_REF_Risques_TDSI[@[Taxo Cause "&amp;DocumentLanguage&amp;"]]")</f>
        <v>#REF!</v>
      </c>
      <c r="K26" s="39" t="e" cm="1">
        <f t="array" aca="1" ref="K26" ca="1">INDIRECT("tbl_REF_Risques_TDSI[@[Taxo Risk "&amp;DocumentLanguage&amp;"]]")</f>
        <v>#REF!</v>
      </c>
      <c r="L26" s="39" t="e" cm="1">
        <f t="array" aca="1" ref="L26" ca="1">INDIRECT("tbl_REF_Risques_TDSI[@[Taxo Impact "&amp;DocumentLanguage&amp;"]]")</f>
        <v>#REF!</v>
      </c>
      <c r="M26" s="49"/>
      <c r="N26" s="63" t="e" cm="1">
        <f t="array" aca="1" ref="N26"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26" s="38" t="e" cm="1">
        <f t="array" aca="1" ref="O26" ca="1">_xlfn.LET(
 _xlpm.raw,_xlfn.TEXTSPLIT(M26,CHAR(10)),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26" s="38"/>
      <c r="Q26" s="10" t="e">
        <f ca="1">INDEX(INDIRECT("RiskResid_"&amp;DocumentLanguage),MATCH(tbl_Risks[[#This Row],[Niveau Risque Inhérent
Inherent Risk Level]], INDIRECT("niv_risk_"&amp;DocumentLanguage), 0),MATCH(tbl_Risks[[#This Row],[Efficacité globale 
Global efficiency]], INDIRECT("effglob_"&amp;DocumentLanguage), 0))</f>
        <v>#N/A</v>
      </c>
      <c r="R26" s="38"/>
      <c r="S26" s="10" t="e">
        <f ca="1">INDEX(INDIRECT("RiskResid_"&amp;DocumentLanguage),MATCH(tbl_Risks[[#This Row],[Niveau Risque Inhérent
Inherent Risk Level]], INDIRECT("niv_risk_"&amp;DocumentLanguage), 0),MATCH(tbl_Risks[[#This Row],[Efficacité finale
Final efficiency]], INDIRECT("effglob_"&amp;DocumentLanguage), 0))</f>
        <v>#N/A</v>
      </c>
    </row>
    <row r="27" spans="1:19">
      <c r="A27" s="38"/>
      <c r="B27" s="38"/>
      <c r="C27" s="39" t="e" cm="1">
        <f t="array" aca="1" ref="C27" ca="1">INDIRECT("tbl_REF_Risques_TDSI[@[Risk Scenario Title "&amp;DocumentLanguage&amp;"]]")</f>
        <v>#REF!</v>
      </c>
      <c r="D27" s="39" t="e" cm="1">
        <f t="array" aca="1" ref="D27" ca="1">INDIRECT("tbl_REF_Risques_TDSI[@[Risk Scenario Description "&amp;DocumentLanguage&amp;"]]")</f>
        <v>#REF!</v>
      </c>
      <c r="E27" s="41"/>
      <c r="F27" s="39"/>
      <c r="G27" s="39"/>
      <c r="H27" s="39"/>
      <c r="I27" s="1" t="str" cm="1">
        <f t="array" aca="1" ref="I27"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27" s="39" t="e" cm="1">
        <f t="array" aca="1" ref="J27" ca="1">INDIRECT("tbl_REF_Risques_TDSI[@[Taxo Cause "&amp;DocumentLanguage&amp;"]]")</f>
        <v>#REF!</v>
      </c>
      <c r="K27" s="39" t="e" cm="1">
        <f t="array" aca="1" ref="K27" ca="1">INDIRECT("tbl_REF_Risques_TDSI[@[Taxo Risk "&amp;DocumentLanguage&amp;"]]")</f>
        <v>#REF!</v>
      </c>
      <c r="L27" s="39" t="e" cm="1">
        <f t="array" aca="1" ref="L27" ca="1">INDIRECT("tbl_REF_Risques_TDSI[@[Taxo Impact "&amp;DocumentLanguage&amp;"]]")</f>
        <v>#REF!</v>
      </c>
      <c r="M27" s="49"/>
      <c r="N27" s="63" t="e" cm="1">
        <f t="array" aca="1" ref="N27"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27" s="38" t="e" cm="1">
        <f t="array" aca="1" ref="O27" ca="1">_xlfn.LET(
 _xlpm.raw,_xlfn.TEXTSPLIT(M27,CHAR(10)),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27" s="38"/>
      <c r="Q27" s="10" t="e">
        <f ca="1">INDEX(INDIRECT("RiskResid_"&amp;DocumentLanguage),MATCH(tbl_Risks[[#This Row],[Niveau Risque Inhérent
Inherent Risk Level]], INDIRECT("niv_risk_"&amp;DocumentLanguage), 0),MATCH(tbl_Risks[[#This Row],[Efficacité globale 
Global efficiency]], INDIRECT("effglob_"&amp;DocumentLanguage), 0))</f>
        <v>#N/A</v>
      </c>
      <c r="R27" s="38"/>
      <c r="S27" s="10" t="e">
        <f ca="1">INDEX(INDIRECT("RiskResid_"&amp;DocumentLanguage),MATCH(tbl_Risks[[#This Row],[Niveau Risque Inhérent
Inherent Risk Level]], INDIRECT("niv_risk_"&amp;DocumentLanguage), 0),MATCH(tbl_Risks[[#This Row],[Efficacité finale
Final efficiency]], INDIRECT("effglob_"&amp;DocumentLanguage), 0))</f>
        <v>#N/A</v>
      </c>
    </row>
    <row r="28" spans="1:19">
      <c r="A28" s="38"/>
      <c r="B28" s="38"/>
      <c r="C28" s="39" t="e" cm="1">
        <f t="array" aca="1" ref="C28" ca="1">INDIRECT("tbl_REF_Risques_TDSI[@[Risk Scenario Title "&amp;DocumentLanguage&amp;"]]")</f>
        <v>#REF!</v>
      </c>
      <c r="D28" s="39" t="e" cm="1">
        <f t="array" aca="1" ref="D28" ca="1">INDIRECT("tbl_REF_Risques_TDSI[@[Risk Scenario Description "&amp;DocumentLanguage&amp;"]]")</f>
        <v>#REF!</v>
      </c>
      <c r="E28" s="41"/>
      <c r="F28" s="39"/>
      <c r="G28" s="39"/>
      <c r="H28" s="39"/>
      <c r="I28" s="1" t="str" cm="1">
        <f t="array" aca="1" ref="I28"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28" s="39" t="e" cm="1">
        <f t="array" aca="1" ref="J28" ca="1">INDIRECT("tbl_REF_Risques_TDSI[@[Taxo Cause "&amp;DocumentLanguage&amp;"]]")</f>
        <v>#REF!</v>
      </c>
      <c r="K28" s="39" t="e" cm="1">
        <f t="array" aca="1" ref="K28" ca="1">INDIRECT("tbl_REF_Risques_TDSI[@[Taxo Risk "&amp;DocumentLanguage&amp;"]]")</f>
        <v>#REF!</v>
      </c>
      <c r="L28" s="39" t="e" cm="1">
        <f t="array" aca="1" ref="L28" ca="1">INDIRECT("tbl_REF_Risques_TDSI[@[Taxo Impact "&amp;DocumentLanguage&amp;"]]")</f>
        <v>#REF!</v>
      </c>
      <c r="M28" s="49"/>
      <c r="N28" s="63" t="e" cm="1">
        <f t="array" aca="1" ref="N28"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28" s="38" t="e" cm="1">
        <f t="array" aca="1" ref="O28" ca="1">_xlfn.LET(
 _xlpm.raw,_xlfn.TEXTSPLIT(M28,CHAR(10)),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28" s="38"/>
      <c r="Q28" s="10" t="e">
        <f ca="1">INDEX(INDIRECT("RiskResid_"&amp;DocumentLanguage),MATCH(tbl_Risks[[#This Row],[Niveau Risque Inhérent
Inherent Risk Level]], INDIRECT("niv_risk_"&amp;DocumentLanguage), 0),MATCH(tbl_Risks[[#This Row],[Efficacité globale 
Global efficiency]], INDIRECT("effglob_"&amp;DocumentLanguage), 0))</f>
        <v>#N/A</v>
      </c>
      <c r="R28" s="38"/>
      <c r="S28" s="10" t="e">
        <f ca="1">INDEX(INDIRECT("RiskResid_"&amp;DocumentLanguage),MATCH(tbl_Risks[[#This Row],[Niveau Risque Inhérent
Inherent Risk Level]], INDIRECT("niv_risk_"&amp;DocumentLanguage), 0),MATCH(tbl_Risks[[#This Row],[Efficacité finale
Final efficiency]], INDIRECT("effglob_"&amp;DocumentLanguage), 0))</f>
        <v>#N/A</v>
      </c>
    </row>
    <row r="29" spans="1:19">
      <c r="A29" s="38"/>
      <c r="B29" s="38"/>
      <c r="C29" s="39" t="e" cm="1">
        <f t="array" aca="1" ref="C29" ca="1">INDIRECT("tbl_REF_Risques_TDSI[@[Risk Scenario Title "&amp;DocumentLanguage&amp;"]]")</f>
        <v>#REF!</v>
      </c>
      <c r="D29" s="39" t="e" cm="1">
        <f t="array" aca="1" ref="D29" ca="1">INDIRECT("tbl_REF_Risques_TDSI[@[Risk Scenario Description "&amp;DocumentLanguage&amp;"]]")</f>
        <v>#REF!</v>
      </c>
      <c r="E29" s="41"/>
      <c r="F29" s="39"/>
      <c r="G29" s="39"/>
      <c r="H29" s="39"/>
      <c r="I29" s="1" t="str" cm="1">
        <f t="array" aca="1" ref="I29"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29" s="39" t="e" cm="1">
        <f t="array" aca="1" ref="J29" ca="1">INDIRECT("tbl_REF_Risques_TDSI[@[Taxo Cause "&amp;DocumentLanguage&amp;"]]")</f>
        <v>#REF!</v>
      </c>
      <c r="K29" s="39" t="e" cm="1">
        <f t="array" aca="1" ref="K29" ca="1">INDIRECT("tbl_REF_Risques_TDSI[@[Taxo Risk "&amp;DocumentLanguage&amp;"]]")</f>
        <v>#REF!</v>
      </c>
      <c r="L29" s="39" t="e" cm="1">
        <f t="array" aca="1" ref="L29" ca="1">INDIRECT("tbl_REF_Risques_TDSI[@[Taxo Impact "&amp;DocumentLanguage&amp;"]]")</f>
        <v>#REF!</v>
      </c>
      <c r="M29" s="49"/>
      <c r="N29" s="63" t="e" cm="1">
        <f t="array" aca="1" ref="N29"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29" s="38" t="e" cm="1">
        <f t="array" aca="1" ref="O29" ca="1">_xlfn.LET(
 _xlpm.raw,_xlfn.TEXTSPLIT(M29,CHAR(10)),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29" s="38"/>
      <c r="Q29" s="10" t="e">
        <f ca="1">INDEX(INDIRECT("RiskResid_"&amp;DocumentLanguage),MATCH(tbl_Risks[[#This Row],[Niveau Risque Inhérent
Inherent Risk Level]], INDIRECT("niv_risk_"&amp;DocumentLanguage), 0),MATCH(tbl_Risks[[#This Row],[Efficacité globale 
Global efficiency]], INDIRECT("effglob_"&amp;DocumentLanguage), 0))</f>
        <v>#N/A</v>
      </c>
      <c r="R29" s="38"/>
      <c r="S29" s="10" t="e">
        <f ca="1">INDEX(INDIRECT("RiskResid_"&amp;DocumentLanguage),MATCH(tbl_Risks[[#This Row],[Niveau Risque Inhérent
Inherent Risk Level]], INDIRECT("niv_risk_"&amp;DocumentLanguage), 0),MATCH(tbl_Risks[[#This Row],[Efficacité finale
Final efficiency]], INDIRECT("effglob_"&amp;DocumentLanguage), 0))</f>
        <v>#N/A</v>
      </c>
    </row>
    <row r="30" spans="1:19">
      <c r="A30" s="38"/>
      <c r="B30" s="38"/>
      <c r="C30" s="39" t="e" cm="1">
        <f t="array" aca="1" ref="C30" ca="1">INDIRECT("tbl_REF_Risques_TDSI[@[Risk Scenario Title "&amp;DocumentLanguage&amp;"]]")</f>
        <v>#REF!</v>
      </c>
      <c r="D30" s="39" t="e" cm="1">
        <f t="array" aca="1" ref="D30" ca="1">INDIRECT("tbl_REF_Risques_TDSI[@[Risk Scenario Description "&amp;DocumentLanguage&amp;"]]")</f>
        <v>#REF!</v>
      </c>
      <c r="E30" s="41"/>
      <c r="F30" s="39"/>
      <c r="G30" s="39"/>
      <c r="H30" s="39"/>
      <c r="I30" s="1" t="str" cm="1">
        <f t="array" aca="1" ref="I30"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30" s="39" t="e" cm="1">
        <f t="array" aca="1" ref="J30" ca="1">INDIRECT("tbl_REF_Risques_TDSI[@[Taxo Cause "&amp;DocumentLanguage&amp;"]]")</f>
        <v>#REF!</v>
      </c>
      <c r="K30" s="39" t="e" cm="1">
        <f t="array" aca="1" ref="K30" ca="1">INDIRECT("tbl_REF_Risques_TDSI[@[Taxo Risk "&amp;DocumentLanguage&amp;"]]")</f>
        <v>#REF!</v>
      </c>
      <c r="L30" s="39" t="e" cm="1">
        <f t="array" aca="1" ref="L30" ca="1">INDIRECT("tbl_REF_Risques_TDSI[@[Taxo Impact "&amp;DocumentLanguage&amp;"]]")</f>
        <v>#REF!</v>
      </c>
      <c r="M30" s="49"/>
      <c r="N30" s="63" t="e" cm="1">
        <f t="array" aca="1" ref="N30"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30" s="38" t="e" cm="1">
        <f t="array" aca="1" ref="O30" ca="1">_xlfn.LET(
 _xlpm.raw,_xlfn.TEXTSPLIT(M30,CHAR(10)),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30" s="38"/>
      <c r="Q30" s="10" t="e">
        <f ca="1">INDEX(INDIRECT("RiskResid_"&amp;DocumentLanguage),MATCH(tbl_Risks[[#This Row],[Niveau Risque Inhérent
Inherent Risk Level]], INDIRECT("niv_risk_"&amp;DocumentLanguage), 0),MATCH(tbl_Risks[[#This Row],[Efficacité globale 
Global efficiency]], INDIRECT("effglob_"&amp;DocumentLanguage), 0))</f>
        <v>#N/A</v>
      </c>
      <c r="R30" s="38"/>
      <c r="S30" s="10" t="e">
        <f ca="1">INDEX(INDIRECT("RiskResid_"&amp;DocumentLanguage),MATCH(tbl_Risks[[#This Row],[Niveau Risque Inhérent
Inherent Risk Level]], INDIRECT("niv_risk_"&amp;DocumentLanguage), 0),MATCH(tbl_Risks[[#This Row],[Efficacité finale
Final efficiency]], INDIRECT("effglob_"&amp;DocumentLanguage), 0))</f>
        <v>#N/A</v>
      </c>
    </row>
    <row r="31" spans="1:19">
      <c r="A31" s="38"/>
      <c r="B31" s="38"/>
      <c r="C31" s="39" t="e" cm="1">
        <f t="array" aca="1" ref="C31" ca="1">INDIRECT("tbl_REF_Risques_TDSI[@[Risk Scenario Title "&amp;DocumentLanguage&amp;"]]")</f>
        <v>#REF!</v>
      </c>
      <c r="D31" s="39" t="e" cm="1">
        <f t="array" aca="1" ref="D31" ca="1">INDIRECT("tbl_REF_Risques_TDSI[@[Risk Scenario Description "&amp;DocumentLanguage&amp;"]]")</f>
        <v>#REF!</v>
      </c>
      <c r="E31" s="41"/>
      <c r="F31" s="39"/>
      <c r="G31" s="39"/>
      <c r="H31" s="39"/>
      <c r="I31" s="1" t="str" cm="1">
        <f t="array" aca="1" ref="I31"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31" s="39" t="e" cm="1">
        <f t="array" aca="1" ref="J31" ca="1">INDIRECT("tbl_REF_Risques_TDSI[@[Taxo Cause "&amp;DocumentLanguage&amp;"]]")</f>
        <v>#REF!</v>
      </c>
      <c r="K31" s="39" t="e" cm="1">
        <f t="array" aca="1" ref="K31" ca="1">INDIRECT("tbl_REF_Risques_TDSI[@[Taxo Risk "&amp;DocumentLanguage&amp;"]]")</f>
        <v>#REF!</v>
      </c>
      <c r="L31" s="39" t="e" cm="1">
        <f t="array" aca="1" ref="L31" ca="1">INDIRECT("tbl_REF_Risques_TDSI[@[Taxo Impact "&amp;DocumentLanguage&amp;"]]")</f>
        <v>#REF!</v>
      </c>
      <c r="M31" s="49"/>
      <c r="N31" s="63" t="e" cm="1">
        <f t="array" aca="1" ref="N31"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31" s="38" t="e" cm="1">
        <f t="array" aca="1" ref="O31" ca="1">_xlfn.LET(
 _xlpm.raw,_xlfn.TEXTSPLIT(M31,CHAR(10)),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31" s="38"/>
      <c r="Q31" s="10" t="e">
        <f ca="1">INDEX(INDIRECT("RiskResid_"&amp;DocumentLanguage),MATCH(tbl_Risks[[#This Row],[Niveau Risque Inhérent
Inherent Risk Level]], INDIRECT("niv_risk_"&amp;DocumentLanguage), 0),MATCH(tbl_Risks[[#This Row],[Efficacité globale 
Global efficiency]], INDIRECT("effglob_"&amp;DocumentLanguage), 0))</f>
        <v>#N/A</v>
      </c>
      <c r="R31" s="38"/>
      <c r="S31" s="10" t="e">
        <f ca="1">INDEX(INDIRECT("RiskResid_"&amp;DocumentLanguage),MATCH(tbl_Risks[[#This Row],[Niveau Risque Inhérent
Inherent Risk Level]], INDIRECT("niv_risk_"&amp;DocumentLanguage), 0),MATCH(tbl_Risks[[#This Row],[Efficacité finale
Final efficiency]], INDIRECT("effglob_"&amp;DocumentLanguage), 0))</f>
        <v>#N/A</v>
      </c>
    </row>
    <row r="32" spans="1:19">
      <c r="A32" s="38"/>
      <c r="B32" s="38"/>
      <c r="C32" s="39" t="e" cm="1">
        <f t="array" aca="1" ref="C32" ca="1">INDIRECT("tbl_REF_Risques_TDSI[@[Risk Scenario Title "&amp;DocumentLanguage&amp;"]]")</f>
        <v>#REF!</v>
      </c>
      <c r="D32" s="39" t="e" cm="1">
        <f t="array" aca="1" ref="D32" ca="1">INDIRECT("tbl_REF_Risques_TDSI[@[Risk Scenario Description "&amp;DocumentLanguage&amp;"]]")</f>
        <v>#REF!</v>
      </c>
      <c r="E32" s="41"/>
      <c r="F32" s="39"/>
      <c r="G32" s="39"/>
      <c r="H32" s="39"/>
      <c r="I32" s="1" t="str" cm="1">
        <f t="array" aca="1" ref="I32"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32" s="39" t="e" cm="1">
        <f t="array" aca="1" ref="J32" ca="1">INDIRECT("tbl_REF_Risques_TDSI[@[Taxo Cause "&amp;DocumentLanguage&amp;"]]")</f>
        <v>#REF!</v>
      </c>
      <c r="K32" s="39" t="e" cm="1">
        <f t="array" aca="1" ref="K32" ca="1">INDIRECT("tbl_REF_Risques_TDSI[@[Taxo Risk "&amp;DocumentLanguage&amp;"]]")</f>
        <v>#REF!</v>
      </c>
      <c r="L32" s="39" t="e" cm="1">
        <f t="array" aca="1" ref="L32" ca="1">INDIRECT("tbl_REF_Risques_TDSI[@[Taxo Impact "&amp;DocumentLanguage&amp;"]]")</f>
        <v>#REF!</v>
      </c>
      <c r="M32" s="49"/>
      <c r="N32" s="63" t="e" cm="1">
        <f t="array" aca="1" ref="N32"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32" s="38" t="e" cm="1">
        <f t="array" aca="1" ref="O32" ca="1">_xlfn.LET(
 _xlpm.raw,_xlfn.TEXTSPLIT(M32,CHAR(10)),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32" s="38"/>
      <c r="Q32" s="10" t="e">
        <f ca="1">INDEX(INDIRECT("RiskResid_"&amp;DocumentLanguage),MATCH(tbl_Risks[[#This Row],[Niveau Risque Inhérent
Inherent Risk Level]], INDIRECT("niv_risk_"&amp;DocumentLanguage), 0),MATCH(tbl_Risks[[#This Row],[Efficacité globale 
Global efficiency]], INDIRECT("effglob_"&amp;DocumentLanguage), 0))</f>
        <v>#N/A</v>
      </c>
      <c r="R32" s="38"/>
      <c r="S32" s="10" t="e">
        <f ca="1">INDEX(INDIRECT("RiskResid_"&amp;DocumentLanguage),MATCH(tbl_Risks[[#This Row],[Niveau Risque Inhérent
Inherent Risk Level]], INDIRECT("niv_risk_"&amp;DocumentLanguage), 0),MATCH(tbl_Risks[[#This Row],[Efficacité finale
Final efficiency]], INDIRECT("effglob_"&amp;DocumentLanguage), 0))</f>
        <v>#N/A</v>
      </c>
    </row>
    <row r="33" spans="1:19">
      <c r="A33" s="38"/>
      <c r="B33" s="38"/>
      <c r="C33" s="39" t="e" cm="1">
        <f t="array" aca="1" ref="C33" ca="1">INDIRECT("tbl_REF_Risques_TDSI[@[Risk Scenario Title "&amp;DocumentLanguage&amp;"]]")</f>
        <v>#REF!</v>
      </c>
      <c r="D33" s="39" t="e" cm="1">
        <f t="array" aca="1" ref="D33" ca="1">INDIRECT("tbl_REF_Risques_TDSI[@[Risk Scenario Description "&amp;DocumentLanguage&amp;"]]")</f>
        <v>#REF!</v>
      </c>
      <c r="E33" s="41"/>
      <c r="F33" s="39"/>
      <c r="G33" s="39"/>
      <c r="H33" s="39"/>
      <c r="I33" s="1" t="str" cm="1">
        <f t="array" aca="1" ref="I33"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33" s="39" t="e" cm="1">
        <f t="array" aca="1" ref="J33" ca="1">INDIRECT("tbl_REF_Risques_TDSI[@[Taxo Cause "&amp;DocumentLanguage&amp;"]]")</f>
        <v>#REF!</v>
      </c>
      <c r="K33" s="39" t="e" cm="1">
        <f t="array" aca="1" ref="K33" ca="1">INDIRECT("tbl_REF_Risques_TDSI[@[Taxo Risk "&amp;DocumentLanguage&amp;"]]")</f>
        <v>#REF!</v>
      </c>
      <c r="L33" s="39" t="e" cm="1">
        <f t="array" aca="1" ref="L33" ca="1">INDIRECT("tbl_REF_Risques_TDSI[@[Taxo Impact "&amp;DocumentLanguage&amp;"]]")</f>
        <v>#REF!</v>
      </c>
      <c r="M33" s="49"/>
      <c r="N33" s="63" t="e" cm="1">
        <f t="array" aca="1" ref="N33"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33" s="38" t="e" cm="1">
        <f t="array" aca="1" ref="O33" ca="1">_xlfn.LET(
 _xlpm.raw,_xlfn.TEXTSPLIT(M33,CHAR(10)),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33" s="38"/>
      <c r="Q33" s="10" t="e">
        <f ca="1">INDEX(INDIRECT("RiskResid_"&amp;DocumentLanguage),MATCH(tbl_Risks[[#This Row],[Niveau Risque Inhérent
Inherent Risk Level]], INDIRECT("niv_risk_"&amp;DocumentLanguage), 0),MATCH(tbl_Risks[[#This Row],[Efficacité globale 
Global efficiency]], INDIRECT("effglob_"&amp;DocumentLanguage), 0))</f>
        <v>#N/A</v>
      </c>
      <c r="R33" s="38"/>
      <c r="S33" s="10" t="e">
        <f ca="1">INDEX(INDIRECT("RiskResid_"&amp;DocumentLanguage),MATCH(tbl_Risks[[#This Row],[Niveau Risque Inhérent
Inherent Risk Level]], INDIRECT("niv_risk_"&amp;DocumentLanguage), 0),MATCH(tbl_Risks[[#This Row],[Efficacité finale
Final efficiency]], INDIRECT("effglob_"&amp;DocumentLanguage), 0))</f>
        <v>#N/A</v>
      </c>
    </row>
    <row r="34" spans="1:19">
      <c r="A34" s="38"/>
      <c r="B34" s="38"/>
      <c r="C34" s="39" t="e" cm="1">
        <f t="array" aca="1" ref="C34" ca="1">INDIRECT("tbl_REF_Risques_TDSI[@[Risk Scenario Title "&amp;DocumentLanguage&amp;"]]")</f>
        <v>#REF!</v>
      </c>
      <c r="D34" s="39" t="e" cm="1">
        <f t="array" aca="1" ref="D34" ca="1">INDIRECT("tbl_REF_Risques_TDSI[@[Risk Scenario Description "&amp;DocumentLanguage&amp;"]]")</f>
        <v>#REF!</v>
      </c>
      <c r="E34" s="41"/>
      <c r="F34" s="39"/>
      <c r="G34" s="39"/>
      <c r="H34" s="39"/>
      <c r="I34" s="1" t="str" cm="1">
        <f t="array" aca="1" ref="I34"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34" s="39" t="e" cm="1">
        <f t="array" aca="1" ref="J34" ca="1">INDIRECT("tbl_REF_Risques_TDSI[@[Taxo Cause "&amp;DocumentLanguage&amp;"]]")</f>
        <v>#REF!</v>
      </c>
      <c r="K34" s="39" t="e" cm="1">
        <f t="array" aca="1" ref="K34" ca="1">INDIRECT("tbl_REF_Risques_TDSI[@[Taxo Risk "&amp;DocumentLanguage&amp;"]]")</f>
        <v>#REF!</v>
      </c>
      <c r="L34" s="39" t="e" cm="1">
        <f t="array" aca="1" ref="L34" ca="1">INDIRECT("tbl_REF_Risques_TDSI[@[Taxo Impact "&amp;DocumentLanguage&amp;"]]")</f>
        <v>#REF!</v>
      </c>
      <c r="M34" s="49"/>
      <c r="N34" s="63" t="e" cm="1">
        <f t="array" aca="1" ref="N34"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34" s="38" t="e" cm="1">
        <f t="array" aca="1" ref="O34" ca="1">_xlfn.LET(
 _xlpm.raw,_xlfn.TEXTSPLIT(M34,CHAR(10)),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34" s="38"/>
      <c r="Q34" s="10" t="e">
        <f ca="1">INDEX(INDIRECT("RiskResid_"&amp;DocumentLanguage),MATCH(tbl_Risks[[#This Row],[Niveau Risque Inhérent
Inherent Risk Level]], INDIRECT("niv_risk_"&amp;DocumentLanguage), 0),MATCH(tbl_Risks[[#This Row],[Efficacité globale 
Global efficiency]], INDIRECT("effglob_"&amp;DocumentLanguage), 0))</f>
        <v>#N/A</v>
      </c>
      <c r="R34" s="38"/>
      <c r="S34" s="10" t="e">
        <f ca="1">INDEX(INDIRECT("RiskResid_"&amp;DocumentLanguage),MATCH(tbl_Risks[[#This Row],[Niveau Risque Inhérent
Inherent Risk Level]], INDIRECT("niv_risk_"&amp;DocumentLanguage), 0),MATCH(tbl_Risks[[#This Row],[Efficacité finale
Final efficiency]], INDIRECT("effglob_"&amp;DocumentLanguage), 0))</f>
        <v>#N/A</v>
      </c>
    </row>
    <row r="35" spans="1:19">
      <c r="A35" s="38"/>
      <c r="B35" s="38"/>
      <c r="C35" s="39" t="e" cm="1">
        <f t="array" aca="1" ref="C35" ca="1">INDIRECT("tbl_REF_Risques_TDSI[@[Risk Scenario Title "&amp;DocumentLanguage&amp;"]]")</f>
        <v>#REF!</v>
      </c>
      <c r="D35" s="39" t="e" cm="1">
        <f t="array" aca="1" ref="D35" ca="1">INDIRECT("tbl_REF_Risques_TDSI[@[Risk Scenario Description "&amp;DocumentLanguage&amp;"]]")</f>
        <v>#REF!</v>
      </c>
      <c r="E35" s="41"/>
      <c r="F35" s="39"/>
      <c r="G35" s="39"/>
      <c r="H35" s="39"/>
      <c r="I35" s="1" t="str" cm="1">
        <f t="array" aca="1" ref="I35"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35" s="39" t="e" cm="1">
        <f t="array" aca="1" ref="J35" ca="1">INDIRECT("tbl_REF_Risques_TDSI[@[Taxo Cause "&amp;DocumentLanguage&amp;"]]")</f>
        <v>#REF!</v>
      </c>
      <c r="K35" s="39" t="e" cm="1">
        <f t="array" aca="1" ref="K35" ca="1">INDIRECT("tbl_REF_Risques_TDSI[@[Taxo Risk "&amp;DocumentLanguage&amp;"]]")</f>
        <v>#REF!</v>
      </c>
      <c r="L35" s="39" t="e" cm="1">
        <f t="array" aca="1" ref="L35" ca="1">INDIRECT("tbl_REF_Risques_TDSI[@[Taxo Impact "&amp;DocumentLanguage&amp;"]]")</f>
        <v>#REF!</v>
      </c>
      <c r="M35" s="49"/>
      <c r="N35" s="63" t="e" cm="1">
        <f t="array" aca="1" ref="N35"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35" s="38" t="e" cm="1">
        <f t="array" aca="1" ref="O35" ca="1">_xlfn.LET(
 _xlpm.raw,_xlfn.TEXTSPLIT(M35,CHAR(10)),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35" s="38"/>
      <c r="Q35" s="10" t="e">
        <f ca="1">INDEX(INDIRECT("RiskResid_"&amp;DocumentLanguage),MATCH(tbl_Risks[[#This Row],[Niveau Risque Inhérent
Inherent Risk Level]], INDIRECT("niv_risk_"&amp;DocumentLanguage), 0),MATCH(tbl_Risks[[#This Row],[Efficacité globale 
Global efficiency]], INDIRECT("effglob_"&amp;DocumentLanguage), 0))</f>
        <v>#N/A</v>
      </c>
      <c r="R35" s="38"/>
      <c r="S35" s="10" t="e">
        <f ca="1">INDEX(INDIRECT("RiskResid_"&amp;DocumentLanguage),MATCH(tbl_Risks[[#This Row],[Niveau Risque Inhérent
Inherent Risk Level]], INDIRECT("niv_risk_"&amp;DocumentLanguage), 0),MATCH(tbl_Risks[[#This Row],[Efficacité finale
Final efficiency]], INDIRECT("effglob_"&amp;DocumentLanguage), 0))</f>
        <v>#N/A</v>
      </c>
    </row>
    <row r="36" spans="1:19">
      <c r="A36" s="38"/>
      <c r="B36" s="38"/>
      <c r="C36" s="39" t="e" cm="1">
        <f t="array" aca="1" ref="C36" ca="1">INDIRECT("tbl_REF_Risques_TDSI[@[Risk Scenario Title "&amp;DocumentLanguage&amp;"]]")</f>
        <v>#REF!</v>
      </c>
      <c r="D36" s="39" t="e" cm="1">
        <f t="array" aca="1" ref="D36" ca="1">INDIRECT("tbl_REF_Risques_TDSI[@[Risk Scenario Description "&amp;DocumentLanguage&amp;"]]")</f>
        <v>#REF!</v>
      </c>
      <c r="E36" s="41"/>
      <c r="F36" s="39"/>
      <c r="G36" s="39"/>
      <c r="H36" s="39"/>
      <c r="I36" s="1" t="str" cm="1">
        <f t="array" aca="1" ref="I36"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36" s="39" t="e" cm="1">
        <f t="array" aca="1" ref="J36" ca="1">INDIRECT("tbl_REF_Risques_TDSI[@[Taxo Cause "&amp;DocumentLanguage&amp;"]]")</f>
        <v>#REF!</v>
      </c>
      <c r="K36" s="39" t="e" cm="1">
        <f t="array" aca="1" ref="K36" ca="1">INDIRECT("tbl_REF_Risques_TDSI[@[Taxo Risk "&amp;DocumentLanguage&amp;"]]")</f>
        <v>#REF!</v>
      </c>
      <c r="L36" s="39" t="e" cm="1">
        <f t="array" aca="1" ref="L36" ca="1">INDIRECT("tbl_REF_Risques_TDSI[@[Taxo Impact "&amp;DocumentLanguage&amp;"]]")</f>
        <v>#REF!</v>
      </c>
      <c r="M36" s="49"/>
      <c r="N36" s="63" t="e" cm="1">
        <f t="array" aca="1" ref="N36"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36" s="38" t="e" cm="1">
        <f t="array" aca="1" ref="O36" ca="1">_xlfn.LET(
 _xlpm.raw,_xlfn.TEXTSPLIT(M36,CHAR(10)),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36" s="38"/>
      <c r="Q36" s="10" t="e">
        <f ca="1">INDEX(INDIRECT("RiskResid_"&amp;DocumentLanguage),MATCH(tbl_Risks[[#This Row],[Niveau Risque Inhérent
Inherent Risk Level]], INDIRECT("niv_risk_"&amp;DocumentLanguage), 0),MATCH(tbl_Risks[[#This Row],[Efficacité globale 
Global efficiency]], INDIRECT("effglob_"&amp;DocumentLanguage), 0))</f>
        <v>#N/A</v>
      </c>
      <c r="R36" s="38"/>
      <c r="S36" s="10" t="e">
        <f ca="1">INDEX(INDIRECT("RiskResid_"&amp;DocumentLanguage),MATCH(tbl_Risks[[#This Row],[Niveau Risque Inhérent
Inherent Risk Level]], INDIRECT("niv_risk_"&amp;DocumentLanguage), 0),MATCH(tbl_Risks[[#This Row],[Efficacité finale
Final efficiency]], INDIRECT("effglob_"&amp;DocumentLanguage), 0))</f>
        <v>#N/A</v>
      </c>
    </row>
    <row r="37" spans="1:19">
      <c r="A37" s="38"/>
      <c r="B37" s="38"/>
      <c r="C37" s="39" t="e" cm="1">
        <f t="array" aca="1" ref="C37" ca="1">INDIRECT("tbl_REF_Risques_TDSI[@[Risk Scenario Title "&amp;DocumentLanguage&amp;"]]")</f>
        <v>#REF!</v>
      </c>
      <c r="D37" s="39" t="e" cm="1">
        <f t="array" aca="1" ref="D37" ca="1">INDIRECT("tbl_REF_Risques_TDSI[@[Risk Scenario Description "&amp;DocumentLanguage&amp;"]]")</f>
        <v>#REF!</v>
      </c>
      <c r="E37" s="41"/>
      <c r="F37" s="39"/>
      <c r="G37" s="39"/>
      <c r="H37" s="39"/>
      <c r="I37" s="1" t="str" cm="1">
        <f t="array" aca="1" ref="I37"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37" s="39" t="e" cm="1">
        <f t="array" aca="1" ref="J37" ca="1">INDIRECT("tbl_REF_Risques_TDSI[@[Taxo Cause "&amp;DocumentLanguage&amp;"]]")</f>
        <v>#REF!</v>
      </c>
      <c r="K37" s="39" t="e" cm="1">
        <f t="array" aca="1" ref="K37" ca="1">INDIRECT("tbl_REF_Risques_TDSI[@[Taxo Risk "&amp;DocumentLanguage&amp;"]]")</f>
        <v>#REF!</v>
      </c>
      <c r="L37" s="39" t="e" cm="1">
        <f t="array" aca="1" ref="L37" ca="1">INDIRECT("tbl_REF_Risques_TDSI[@[Taxo Impact "&amp;DocumentLanguage&amp;"]]")</f>
        <v>#REF!</v>
      </c>
      <c r="M37" s="49"/>
      <c r="N37" s="63" t="e" cm="1">
        <f t="array" aca="1" ref="N37"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37" s="38" t="e" cm="1">
        <f t="array" aca="1" ref="O37" ca="1">_xlfn.LET(
 _xlpm.raw,_xlfn.TEXTSPLIT(M37,CHAR(10)),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37" s="38"/>
      <c r="Q37" s="10" t="e">
        <f ca="1">INDEX(INDIRECT("RiskResid_"&amp;DocumentLanguage),MATCH(tbl_Risks[[#This Row],[Niveau Risque Inhérent
Inherent Risk Level]], INDIRECT("niv_risk_"&amp;DocumentLanguage), 0),MATCH(tbl_Risks[[#This Row],[Efficacité globale 
Global efficiency]], INDIRECT("effglob_"&amp;DocumentLanguage), 0))</f>
        <v>#N/A</v>
      </c>
      <c r="R37" s="38"/>
      <c r="S37" s="10" t="e">
        <f ca="1">INDEX(INDIRECT("RiskResid_"&amp;DocumentLanguage),MATCH(tbl_Risks[[#This Row],[Niveau Risque Inhérent
Inherent Risk Level]], INDIRECT("niv_risk_"&amp;DocumentLanguage), 0),MATCH(tbl_Risks[[#This Row],[Efficacité finale
Final efficiency]], INDIRECT("effglob_"&amp;DocumentLanguage), 0))</f>
        <v>#N/A</v>
      </c>
    </row>
    <row r="38" spans="1:19">
      <c r="A38" s="38"/>
      <c r="B38" s="38"/>
      <c r="C38" s="39" t="e" cm="1">
        <f t="array" aca="1" ref="C38" ca="1">INDIRECT("tbl_REF_Risques_TDSI[@[Risk Scenario Title "&amp;DocumentLanguage&amp;"]]")</f>
        <v>#REF!</v>
      </c>
      <c r="D38" s="39" t="e" cm="1">
        <f t="array" aca="1" ref="D38" ca="1">INDIRECT("tbl_REF_Risques_TDSI[@[Risk Scenario Description "&amp;DocumentLanguage&amp;"]]")</f>
        <v>#REF!</v>
      </c>
      <c r="E38" s="41"/>
      <c r="F38" s="39"/>
      <c r="G38" s="39"/>
      <c r="H38" s="39"/>
      <c r="I38" s="1" t="str" cm="1">
        <f t="array" aca="1" ref="I38"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38" s="39" t="e" cm="1">
        <f t="array" aca="1" ref="J38" ca="1">INDIRECT("tbl_REF_Risques_TDSI[@[Taxo Cause "&amp;DocumentLanguage&amp;"]]")</f>
        <v>#REF!</v>
      </c>
      <c r="K38" s="39" t="e" cm="1">
        <f t="array" aca="1" ref="K38" ca="1">INDIRECT("tbl_REF_Risques_TDSI[@[Taxo Risk "&amp;DocumentLanguage&amp;"]]")</f>
        <v>#REF!</v>
      </c>
      <c r="L38" s="39" t="e" cm="1">
        <f t="array" aca="1" ref="L38" ca="1">INDIRECT("tbl_REF_Risques_TDSI[@[Taxo Impact "&amp;DocumentLanguage&amp;"]]")</f>
        <v>#REF!</v>
      </c>
      <c r="M38" s="49"/>
      <c r="N38" s="63" t="e" cm="1">
        <f t="array" aca="1" ref="N38"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38" s="38" t="e" cm="1">
        <f t="array" aca="1" ref="O38" ca="1">_xlfn.LET(
 _xlpm.raw,_xlfn.TEXTSPLIT(M38,CHAR(10)),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38" s="38"/>
      <c r="Q38" s="10" t="e">
        <f ca="1">INDEX(INDIRECT("RiskResid_"&amp;DocumentLanguage),MATCH(tbl_Risks[[#This Row],[Niveau Risque Inhérent
Inherent Risk Level]], INDIRECT("niv_risk_"&amp;DocumentLanguage), 0),MATCH(tbl_Risks[[#This Row],[Efficacité globale 
Global efficiency]], INDIRECT("effglob_"&amp;DocumentLanguage), 0))</f>
        <v>#N/A</v>
      </c>
      <c r="R38" s="38"/>
      <c r="S38" s="10" t="e">
        <f ca="1">INDEX(INDIRECT("RiskResid_"&amp;DocumentLanguage),MATCH(tbl_Risks[[#This Row],[Niveau Risque Inhérent
Inherent Risk Level]], INDIRECT("niv_risk_"&amp;DocumentLanguage), 0),MATCH(tbl_Risks[[#This Row],[Efficacité finale
Final efficiency]], INDIRECT("effglob_"&amp;DocumentLanguage), 0))</f>
        <v>#N/A</v>
      </c>
    </row>
    <row r="39" spans="1:19">
      <c r="A39" s="38"/>
      <c r="B39" s="38"/>
      <c r="C39" s="39" t="e" cm="1">
        <f t="array" aca="1" ref="C39" ca="1">INDIRECT("tbl_REF_Risques_TDSI[@[Risk Scenario Title "&amp;DocumentLanguage&amp;"]]")</f>
        <v>#REF!</v>
      </c>
      <c r="D39" s="39" t="e" cm="1">
        <f t="array" aca="1" ref="D39" ca="1">INDIRECT("tbl_REF_Risques_TDSI[@[Risk Scenario Description "&amp;DocumentLanguage&amp;"]]")</f>
        <v>#REF!</v>
      </c>
      <c r="E39" s="41"/>
      <c r="F39" s="39"/>
      <c r="G39" s="39"/>
      <c r="H39" s="39"/>
      <c r="I39" s="1" t="str" cm="1">
        <f t="array" aca="1" ref="I39"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39" s="39" t="e" cm="1">
        <f t="array" aca="1" ref="J39" ca="1">INDIRECT("tbl_REF_Risques_TDSI[@[Taxo Cause "&amp;DocumentLanguage&amp;"]]")</f>
        <v>#REF!</v>
      </c>
      <c r="K39" s="39" t="e" cm="1">
        <f t="array" aca="1" ref="K39" ca="1">INDIRECT("tbl_REF_Risques_TDSI[@[Taxo Risk "&amp;DocumentLanguage&amp;"]]")</f>
        <v>#REF!</v>
      </c>
      <c r="L39" s="39" t="e" cm="1">
        <f t="array" aca="1" ref="L39" ca="1">INDIRECT("tbl_REF_Risques_TDSI[@[Taxo Impact "&amp;DocumentLanguage&amp;"]]")</f>
        <v>#REF!</v>
      </c>
      <c r="M39" s="49"/>
      <c r="N39" s="63" t="e" cm="1">
        <f t="array" aca="1" ref="N39"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39" s="38" t="e" cm="1">
        <f t="array" aca="1" ref="O39" ca="1">_xlfn.LET(
 _xlpm.raw,_xlfn.TEXTSPLIT(M39,CHAR(10)),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39" s="38"/>
      <c r="Q39" s="10" t="e">
        <f ca="1">INDEX(INDIRECT("RiskResid_"&amp;DocumentLanguage),MATCH(tbl_Risks[[#This Row],[Niveau Risque Inhérent
Inherent Risk Level]], INDIRECT("niv_risk_"&amp;DocumentLanguage), 0),MATCH(tbl_Risks[[#This Row],[Efficacité globale 
Global efficiency]], INDIRECT("effglob_"&amp;DocumentLanguage), 0))</f>
        <v>#N/A</v>
      </c>
      <c r="R39" s="38"/>
      <c r="S39" s="10" t="e">
        <f ca="1">INDEX(INDIRECT("RiskResid_"&amp;DocumentLanguage),MATCH(tbl_Risks[[#This Row],[Niveau Risque Inhérent
Inherent Risk Level]], INDIRECT("niv_risk_"&amp;DocumentLanguage), 0),MATCH(tbl_Risks[[#This Row],[Efficacité finale
Final efficiency]], INDIRECT("effglob_"&amp;DocumentLanguage), 0))</f>
        <v>#N/A</v>
      </c>
    </row>
    <row r="40" spans="1:19">
      <c r="A40" s="38"/>
      <c r="B40" s="38"/>
      <c r="C40" s="39" t="e" cm="1">
        <f t="array" aca="1" ref="C40" ca="1">INDIRECT("tbl_REF_Risques_TDSI[@[Risk Scenario Title "&amp;DocumentLanguage&amp;"]]")</f>
        <v>#REF!</v>
      </c>
      <c r="D40" s="39" t="e" cm="1">
        <f t="array" aca="1" ref="D40" ca="1">INDIRECT("tbl_REF_Risques_TDSI[@[Risk Scenario Description "&amp;DocumentLanguage&amp;"]]")</f>
        <v>#REF!</v>
      </c>
      <c r="E40" s="41"/>
      <c r="F40" s="39"/>
      <c r="G40" s="39"/>
      <c r="H40" s="39"/>
      <c r="I40" s="1" t="str" cm="1">
        <f t="array" aca="1" ref="I40"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40" s="39" t="e" cm="1">
        <f t="array" aca="1" ref="J40" ca="1">INDIRECT("tbl_REF_Risques_TDSI[@[Taxo Cause "&amp;DocumentLanguage&amp;"]]")</f>
        <v>#REF!</v>
      </c>
      <c r="K40" s="39" t="e" cm="1">
        <f t="array" aca="1" ref="K40" ca="1">INDIRECT("tbl_REF_Risques_TDSI[@[Taxo Risk "&amp;DocumentLanguage&amp;"]]")</f>
        <v>#REF!</v>
      </c>
      <c r="L40" s="39" t="e" cm="1">
        <f t="array" aca="1" ref="L40" ca="1">INDIRECT("tbl_REF_Risques_TDSI[@[Taxo Impact "&amp;DocumentLanguage&amp;"]]")</f>
        <v>#REF!</v>
      </c>
      <c r="M40" s="49"/>
      <c r="N40" s="63" t="e" cm="1">
        <f t="array" aca="1" ref="N40"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40" s="38" t="e" cm="1">
        <f t="array" aca="1" ref="O40" ca="1">_xlfn.LET(
 _xlpm.raw,_xlfn.TEXTSPLIT(M40,CHAR(10)),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40" s="38"/>
      <c r="Q40" s="10" t="e">
        <f ca="1">INDEX(INDIRECT("RiskResid_"&amp;DocumentLanguage),MATCH(tbl_Risks[[#This Row],[Niveau Risque Inhérent
Inherent Risk Level]], INDIRECT("niv_risk_"&amp;DocumentLanguage), 0),MATCH(tbl_Risks[[#This Row],[Efficacité globale 
Global efficiency]], INDIRECT("effglob_"&amp;DocumentLanguage), 0))</f>
        <v>#N/A</v>
      </c>
      <c r="R40" s="38"/>
      <c r="S40" s="10" t="e">
        <f ca="1">INDEX(INDIRECT("RiskResid_"&amp;DocumentLanguage),MATCH(tbl_Risks[[#This Row],[Niveau Risque Inhérent
Inherent Risk Level]], INDIRECT("niv_risk_"&amp;DocumentLanguage), 0),MATCH(tbl_Risks[[#This Row],[Efficacité finale
Final efficiency]], INDIRECT("effglob_"&amp;DocumentLanguage), 0))</f>
        <v>#N/A</v>
      </c>
    </row>
    <row r="41" spans="1:19">
      <c r="A41" s="38"/>
      <c r="B41" s="38"/>
      <c r="C41" s="39" t="e" cm="1">
        <f t="array" aca="1" ref="C41" ca="1">INDIRECT("tbl_REF_Risques_TDSI[@[Risk Scenario Title "&amp;DocumentLanguage&amp;"]]")</f>
        <v>#REF!</v>
      </c>
      <c r="D41" s="39" t="e" cm="1">
        <f t="array" aca="1" ref="D41" ca="1">INDIRECT("tbl_REF_Risques_TDSI[@[Risk Scenario Description "&amp;DocumentLanguage&amp;"]]")</f>
        <v>#REF!</v>
      </c>
      <c r="E41" s="41"/>
      <c r="F41" s="39"/>
      <c r="G41" s="39"/>
      <c r="H41" s="39"/>
      <c r="I41" s="1" t="str" cm="1">
        <f t="array" aca="1" ref="I41"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41" s="39" t="e" cm="1">
        <f t="array" aca="1" ref="J41" ca="1">INDIRECT("tbl_REF_Risques_TDSI[@[Taxo Cause "&amp;DocumentLanguage&amp;"]]")</f>
        <v>#REF!</v>
      </c>
      <c r="K41" s="39" t="e" cm="1">
        <f t="array" aca="1" ref="K41" ca="1">INDIRECT("tbl_REF_Risques_TDSI[@[Taxo Risk "&amp;DocumentLanguage&amp;"]]")</f>
        <v>#REF!</v>
      </c>
      <c r="L41" s="39" t="e" cm="1">
        <f t="array" aca="1" ref="L41" ca="1">INDIRECT("tbl_REF_Risques_TDSI[@[Taxo Impact "&amp;DocumentLanguage&amp;"]]")</f>
        <v>#REF!</v>
      </c>
      <c r="M41" s="49"/>
      <c r="N41" s="63" t="e" cm="1">
        <f t="array" aca="1" ref="N41"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41" s="38" t="e" cm="1">
        <f t="array" aca="1" ref="O41" ca="1">_xlfn.LET(
 _xlpm.raw,_xlfn.TEXTSPLIT(M41,CHAR(10)),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41" s="38"/>
      <c r="Q41" s="10" t="e">
        <f ca="1">INDEX(INDIRECT("RiskResid_"&amp;DocumentLanguage),MATCH(tbl_Risks[[#This Row],[Niveau Risque Inhérent
Inherent Risk Level]], INDIRECT("niv_risk_"&amp;DocumentLanguage), 0),MATCH(tbl_Risks[[#This Row],[Efficacité globale 
Global efficiency]], INDIRECT("effglob_"&amp;DocumentLanguage), 0))</f>
        <v>#N/A</v>
      </c>
      <c r="R41" s="38"/>
      <c r="S41" s="10" t="e">
        <f ca="1">INDEX(INDIRECT("RiskResid_"&amp;DocumentLanguage),MATCH(tbl_Risks[[#This Row],[Niveau Risque Inhérent
Inherent Risk Level]], INDIRECT("niv_risk_"&amp;DocumentLanguage), 0),MATCH(tbl_Risks[[#This Row],[Efficacité finale
Final efficiency]], INDIRECT("effglob_"&amp;DocumentLanguage), 0))</f>
        <v>#N/A</v>
      </c>
    </row>
    <row r="42" spans="1:19">
      <c r="A42" s="38"/>
      <c r="B42" s="38"/>
      <c r="C42" s="39" t="e" cm="1">
        <f t="array" aca="1" ref="C42" ca="1">INDIRECT("tbl_REF_Risques_TDSI[@[Risk Scenario Title "&amp;DocumentLanguage&amp;"]]")</f>
        <v>#REF!</v>
      </c>
      <c r="D42" s="39" t="e" cm="1">
        <f t="array" aca="1" ref="D42" ca="1">INDIRECT("tbl_REF_Risques_TDSI[@[Risk Scenario Description "&amp;DocumentLanguage&amp;"]]")</f>
        <v>#REF!</v>
      </c>
      <c r="E42" s="41"/>
      <c r="F42" s="39"/>
      <c r="G42" s="39"/>
      <c r="H42" s="39"/>
      <c r="I42" s="1" t="str" cm="1">
        <f t="array" aca="1" ref="I42"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42" s="39" t="e" cm="1">
        <f t="array" aca="1" ref="J42" ca="1">INDIRECT("tbl_REF_Risques_TDSI[@[Taxo Cause "&amp;DocumentLanguage&amp;"]]")</f>
        <v>#REF!</v>
      </c>
      <c r="K42" s="39" t="e" cm="1">
        <f t="array" aca="1" ref="K42" ca="1">INDIRECT("tbl_REF_Risques_TDSI[@[Taxo Risk "&amp;DocumentLanguage&amp;"]]")</f>
        <v>#REF!</v>
      </c>
      <c r="L42" s="39" t="e" cm="1">
        <f t="array" aca="1" ref="L42" ca="1">INDIRECT("tbl_REF_Risques_TDSI[@[Taxo Impact "&amp;DocumentLanguage&amp;"]]")</f>
        <v>#REF!</v>
      </c>
      <c r="M42" s="49"/>
      <c r="N42" s="63" t="e" cm="1">
        <f t="array" aca="1" ref="N42"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42" s="38" t="e" cm="1">
        <f t="array" aca="1" ref="O42" ca="1">_xlfn.LET(
 _xlpm.raw,_xlfn.TEXTSPLIT(M42,CHAR(10)),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42" s="38"/>
      <c r="Q42" s="10" t="e">
        <f ca="1">INDEX(INDIRECT("RiskResid_"&amp;DocumentLanguage),MATCH(tbl_Risks[[#This Row],[Niveau Risque Inhérent
Inherent Risk Level]], INDIRECT("niv_risk_"&amp;DocumentLanguage), 0),MATCH(tbl_Risks[[#This Row],[Efficacité globale 
Global efficiency]], INDIRECT("effglob_"&amp;DocumentLanguage), 0))</f>
        <v>#N/A</v>
      </c>
      <c r="R42" s="38"/>
      <c r="S42" s="10" t="e">
        <f ca="1">INDEX(INDIRECT("RiskResid_"&amp;DocumentLanguage),MATCH(tbl_Risks[[#This Row],[Niveau Risque Inhérent
Inherent Risk Level]], INDIRECT("niv_risk_"&amp;DocumentLanguage), 0),MATCH(tbl_Risks[[#This Row],[Efficacité finale
Final efficiency]], INDIRECT("effglob_"&amp;DocumentLanguage), 0))</f>
        <v>#N/A</v>
      </c>
    </row>
    <row r="43" spans="1:19">
      <c r="A43" s="38"/>
      <c r="B43" s="38"/>
      <c r="C43" s="39" t="e" cm="1">
        <f t="array" aca="1" ref="C43" ca="1">INDIRECT("tbl_REF_Risques_TDSI[@[Risk Scenario Title "&amp;DocumentLanguage&amp;"]]")</f>
        <v>#REF!</v>
      </c>
      <c r="D43" s="39" t="e" cm="1">
        <f t="array" aca="1" ref="D43" ca="1">INDIRECT("tbl_REF_Risques_TDSI[@[Risk Scenario Description "&amp;DocumentLanguage&amp;"]]")</f>
        <v>#REF!</v>
      </c>
      <c r="E43" s="41"/>
      <c r="F43" s="39"/>
      <c r="G43" s="39"/>
      <c r="H43" s="39"/>
      <c r="I43" s="1" t="str" cm="1">
        <f t="array" aca="1" ref="I43"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43" s="39" t="e" cm="1">
        <f t="array" aca="1" ref="J43" ca="1">INDIRECT("tbl_REF_Risques_TDSI[@[Taxo Cause "&amp;DocumentLanguage&amp;"]]")</f>
        <v>#REF!</v>
      </c>
      <c r="K43" s="39" t="e" cm="1">
        <f t="array" aca="1" ref="K43" ca="1">INDIRECT("tbl_REF_Risques_TDSI[@[Taxo Risk "&amp;DocumentLanguage&amp;"]]")</f>
        <v>#REF!</v>
      </c>
      <c r="L43" s="39" t="e" cm="1">
        <f t="array" aca="1" ref="L43" ca="1">INDIRECT("tbl_REF_Risques_TDSI[@[Taxo Impact "&amp;DocumentLanguage&amp;"]]")</f>
        <v>#REF!</v>
      </c>
      <c r="M43" s="49"/>
      <c r="N43" s="63" t="e" cm="1">
        <f t="array" aca="1" ref="N43"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43" s="38" t="e" cm="1">
        <f t="array" aca="1" ref="O43" ca="1">_xlfn.LET(
 _xlpm.raw,_xlfn.TEXTSPLIT(M43,CHAR(10)),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43" s="38"/>
      <c r="Q43" s="10" t="e">
        <f ca="1">INDEX(INDIRECT("RiskResid_"&amp;DocumentLanguage),MATCH(tbl_Risks[[#This Row],[Niveau Risque Inhérent
Inherent Risk Level]], INDIRECT("niv_risk_"&amp;DocumentLanguage), 0),MATCH(tbl_Risks[[#This Row],[Efficacité globale 
Global efficiency]], INDIRECT("effglob_"&amp;DocumentLanguage), 0))</f>
        <v>#N/A</v>
      </c>
      <c r="R43" s="38"/>
      <c r="S43" s="10" t="e">
        <f ca="1">INDEX(INDIRECT("RiskResid_"&amp;DocumentLanguage),MATCH(tbl_Risks[[#This Row],[Niveau Risque Inhérent
Inherent Risk Level]], INDIRECT("niv_risk_"&amp;DocumentLanguage), 0),MATCH(tbl_Risks[[#This Row],[Efficacité finale
Final efficiency]], INDIRECT("effglob_"&amp;DocumentLanguage), 0))</f>
        <v>#N/A</v>
      </c>
    </row>
    <row r="44" spans="1:19">
      <c r="A44" s="38"/>
      <c r="B44" s="38"/>
      <c r="C44" s="39" t="e" cm="1">
        <f t="array" aca="1" ref="C44" ca="1">INDIRECT("tbl_REF_Risques_TDSI[@[Risk Scenario Title "&amp;DocumentLanguage&amp;"]]")</f>
        <v>#REF!</v>
      </c>
      <c r="D44" s="39" t="e" cm="1">
        <f t="array" aca="1" ref="D44" ca="1">INDIRECT("tbl_REF_Risques_TDSI[@[Risk Scenario Description "&amp;DocumentLanguage&amp;"]]")</f>
        <v>#REF!</v>
      </c>
      <c r="E44" s="41"/>
      <c r="F44" s="39"/>
      <c r="G44" s="39"/>
      <c r="H44" s="39"/>
      <c r="I44" s="1" t="str" cm="1">
        <f t="array" aca="1" ref="I44"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44" s="39" t="e" cm="1">
        <f t="array" aca="1" ref="J44" ca="1">INDIRECT("tbl_REF_Risques_TDSI[@[Taxo Cause "&amp;DocumentLanguage&amp;"]]")</f>
        <v>#REF!</v>
      </c>
      <c r="K44" s="39" t="e" cm="1">
        <f t="array" aca="1" ref="K44" ca="1">INDIRECT("tbl_REF_Risques_TDSI[@[Taxo Risk "&amp;DocumentLanguage&amp;"]]")</f>
        <v>#REF!</v>
      </c>
      <c r="L44" s="39" t="e" cm="1">
        <f t="array" aca="1" ref="L44" ca="1">INDIRECT("tbl_REF_Risques_TDSI[@[Taxo Impact "&amp;DocumentLanguage&amp;"]]")</f>
        <v>#REF!</v>
      </c>
      <c r="M44" s="49"/>
      <c r="N44" s="63" t="e" cm="1">
        <f t="array" aca="1" ref="N44"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44" s="38" t="e" cm="1">
        <f t="array" aca="1" ref="O44" ca="1">_xlfn.LET(
 _xlpm.raw,_xlfn.TEXTSPLIT(M44,CHAR(10)),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44" s="38"/>
      <c r="Q44" s="10" t="e">
        <f ca="1">INDEX(INDIRECT("RiskResid_"&amp;DocumentLanguage),MATCH(tbl_Risks[[#This Row],[Niveau Risque Inhérent
Inherent Risk Level]], INDIRECT("niv_risk_"&amp;DocumentLanguage), 0),MATCH(tbl_Risks[[#This Row],[Efficacité globale 
Global efficiency]], INDIRECT("effglob_"&amp;DocumentLanguage), 0))</f>
        <v>#N/A</v>
      </c>
      <c r="R44" s="38"/>
      <c r="S44" s="10" t="e">
        <f ca="1">INDEX(INDIRECT("RiskResid_"&amp;DocumentLanguage),MATCH(tbl_Risks[[#This Row],[Niveau Risque Inhérent
Inherent Risk Level]], INDIRECT("niv_risk_"&amp;DocumentLanguage), 0),MATCH(tbl_Risks[[#This Row],[Efficacité finale
Final efficiency]], INDIRECT("effglob_"&amp;DocumentLanguage), 0))</f>
        <v>#N/A</v>
      </c>
    </row>
    <row r="45" spans="1:19">
      <c r="A45" s="38"/>
      <c r="B45" s="38"/>
      <c r="C45" s="39" t="e" cm="1">
        <f t="array" aca="1" ref="C45" ca="1">INDIRECT("tbl_REF_Risques_TDSI[@[Risk Scenario Title "&amp;DocumentLanguage&amp;"]]")</f>
        <v>#REF!</v>
      </c>
      <c r="D45" s="39" t="e" cm="1">
        <f t="array" aca="1" ref="D45" ca="1">INDIRECT("tbl_REF_Risques_TDSI[@[Risk Scenario Description "&amp;DocumentLanguage&amp;"]]")</f>
        <v>#REF!</v>
      </c>
      <c r="E45" s="41"/>
      <c r="F45" s="39"/>
      <c r="G45" s="39"/>
      <c r="H45" s="39"/>
      <c r="I45" s="1" t="str" cm="1">
        <f t="array" aca="1" ref="I45"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45" s="39" t="e" cm="1">
        <f t="array" aca="1" ref="J45" ca="1">INDIRECT("tbl_REF_Risques_TDSI[@[Taxo Cause "&amp;DocumentLanguage&amp;"]]")</f>
        <v>#REF!</v>
      </c>
      <c r="K45" s="39" t="e" cm="1">
        <f t="array" aca="1" ref="K45" ca="1">INDIRECT("tbl_REF_Risques_TDSI[@[Taxo Risk "&amp;DocumentLanguage&amp;"]]")</f>
        <v>#REF!</v>
      </c>
      <c r="L45" s="39" t="e" cm="1">
        <f t="array" aca="1" ref="L45" ca="1">INDIRECT("tbl_REF_Risques_TDSI[@[Taxo Impact "&amp;DocumentLanguage&amp;"]]")</f>
        <v>#REF!</v>
      </c>
      <c r="M45" s="49"/>
      <c r="N45" s="63" t="e" cm="1">
        <f t="array" aca="1" ref="N45"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45" s="38" t="e" cm="1">
        <f t="array" aca="1" ref="O45" ca="1">_xlfn.LET(
 _xlpm.raw,_xlfn.TEXTSPLIT(M45,CHAR(10)),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45" s="38"/>
      <c r="Q45" s="10" t="e">
        <f ca="1">INDEX(INDIRECT("RiskResid_"&amp;DocumentLanguage),MATCH(tbl_Risks[[#This Row],[Niveau Risque Inhérent
Inherent Risk Level]], INDIRECT("niv_risk_"&amp;DocumentLanguage), 0),MATCH(tbl_Risks[[#This Row],[Efficacité globale 
Global efficiency]], INDIRECT("effglob_"&amp;DocumentLanguage), 0))</f>
        <v>#N/A</v>
      </c>
      <c r="R45" s="38"/>
      <c r="S45" s="10" t="e">
        <f ca="1">INDEX(INDIRECT("RiskResid_"&amp;DocumentLanguage),MATCH(tbl_Risks[[#This Row],[Niveau Risque Inhérent
Inherent Risk Level]], INDIRECT("niv_risk_"&amp;DocumentLanguage), 0),MATCH(tbl_Risks[[#This Row],[Efficacité finale
Final efficiency]], INDIRECT("effglob_"&amp;DocumentLanguage), 0))</f>
        <v>#N/A</v>
      </c>
    </row>
    <row r="46" spans="1:19">
      <c r="A46" s="38"/>
      <c r="B46" s="38"/>
      <c r="C46" s="39" t="e" cm="1">
        <f t="array" aca="1" ref="C46" ca="1">INDIRECT("tbl_REF_Risques_TDSI[@[Risk Scenario Title "&amp;DocumentLanguage&amp;"]]")</f>
        <v>#REF!</v>
      </c>
      <c r="D46" s="39" t="e" cm="1">
        <f t="array" aca="1" ref="D46" ca="1">INDIRECT("tbl_REF_Risques_TDSI[@[Risk Scenario Description "&amp;DocumentLanguage&amp;"]]")</f>
        <v>#REF!</v>
      </c>
      <c r="E46" s="41"/>
      <c r="F46" s="39"/>
      <c r="G46" s="39"/>
      <c r="H46" s="39"/>
      <c r="I46" s="1" t="str" cm="1">
        <f t="array" aca="1" ref="I46"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46" s="39" t="e" cm="1">
        <f t="array" aca="1" ref="J46" ca="1">INDIRECT("tbl_REF_Risques_TDSI[@[Taxo Cause "&amp;DocumentLanguage&amp;"]]")</f>
        <v>#REF!</v>
      </c>
      <c r="K46" s="39" t="e" cm="1">
        <f t="array" aca="1" ref="K46" ca="1">INDIRECT("tbl_REF_Risques_TDSI[@[Taxo Risk "&amp;DocumentLanguage&amp;"]]")</f>
        <v>#REF!</v>
      </c>
      <c r="L46" s="39" t="e" cm="1">
        <f t="array" aca="1" ref="L46" ca="1">INDIRECT("tbl_REF_Risques_TDSI[@[Taxo Impact "&amp;DocumentLanguage&amp;"]]")</f>
        <v>#REF!</v>
      </c>
      <c r="M46" s="49"/>
      <c r="N46" s="63" t="e" cm="1">
        <f t="array" aca="1" ref="N46"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46" s="38" t="e" cm="1">
        <f t="array" aca="1" ref="O46" ca="1">_xlfn.LET(
 _xlpm.raw,_xlfn.TEXTSPLIT(M46,CHAR(10)),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46" s="38"/>
      <c r="Q46" s="10" t="e">
        <f ca="1">INDEX(INDIRECT("RiskResid_"&amp;DocumentLanguage),MATCH(tbl_Risks[[#This Row],[Niveau Risque Inhérent
Inherent Risk Level]], INDIRECT("niv_risk_"&amp;DocumentLanguage), 0),MATCH(tbl_Risks[[#This Row],[Efficacité globale 
Global efficiency]], INDIRECT("effglob_"&amp;DocumentLanguage), 0))</f>
        <v>#N/A</v>
      </c>
      <c r="R46" s="38"/>
      <c r="S46" s="10" t="e">
        <f ca="1">INDEX(INDIRECT("RiskResid_"&amp;DocumentLanguage),MATCH(tbl_Risks[[#This Row],[Niveau Risque Inhérent
Inherent Risk Level]], INDIRECT("niv_risk_"&amp;DocumentLanguage), 0),MATCH(tbl_Risks[[#This Row],[Efficacité finale
Final efficiency]], INDIRECT("effglob_"&amp;DocumentLanguage), 0))</f>
        <v>#N/A</v>
      </c>
    </row>
    <row r="47" spans="1:19">
      <c r="A47" s="38"/>
      <c r="B47" s="38"/>
      <c r="C47" s="39" t="e" cm="1">
        <f t="array" aca="1" ref="C47" ca="1">INDIRECT("tbl_REF_Risques_TDSI[@[Risk Scenario Title "&amp;DocumentLanguage&amp;"]]")</f>
        <v>#REF!</v>
      </c>
      <c r="D47" s="39" t="e" cm="1">
        <f t="array" aca="1" ref="D47" ca="1">INDIRECT("tbl_REF_Risques_TDSI[@[Risk Scenario Description "&amp;DocumentLanguage&amp;"]]")</f>
        <v>#REF!</v>
      </c>
      <c r="E47" s="41"/>
      <c r="F47" s="39"/>
      <c r="G47" s="39"/>
      <c r="H47" s="39"/>
      <c r="I47" s="1" t="str" cm="1">
        <f t="array" aca="1" ref="I47"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47" s="39" t="e" cm="1">
        <f t="array" aca="1" ref="J47" ca="1">INDIRECT("tbl_REF_Risques_TDSI[@[Taxo Cause "&amp;DocumentLanguage&amp;"]]")</f>
        <v>#REF!</v>
      </c>
      <c r="K47" s="39" t="e" cm="1">
        <f t="array" aca="1" ref="K47" ca="1">INDIRECT("tbl_REF_Risques_TDSI[@[Taxo Risk "&amp;DocumentLanguage&amp;"]]")</f>
        <v>#REF!</v>
      </c>
      <c r="L47" s="39" t="e" cm="1">
        <f t="array" aca="1" ref="L47" ca="1">INDIRECT("tbl_REF_Risques_TDSI[@[Taxo Impact "&amp;DocumentLanguage&amp;"]]")</f>
        <v>#REF!</v>
      </c>
      <c r="M47" s="49"/>
      <c r="N47" s="63" t="e" cm="1">
        <f t="array" aca="1" ref="N47"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47" s="38" t="e" cm="1">
        <f t="array" aca="1" ref="O47" ca="1">_xlfn.LET(
 _xlpm.raw,_xlfn.TEXTSPLIT(M47,CHAR(10)),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47" s="38"/>
      <c r="Q47" s="10" t="e">
        <f ca="1">INDEX(INDIRECT("RiskResid_"&amp;DocumentLanguage),MATCH(tbl_Risks[[#This Row],[Niveau Risque Inhérent
Inherent Risk Level]], INDIRECT("niv_risk_"&amp;DocumentLanguage), 0),MATCH(tbl_Risks[[#This Row],[Efficacité globale 
Global efficiency]], INDIRECT("effglob_"&amp;DocumentLanguage), 0))</f>
        <v>#N/A</v>
      </c>
      <c r="R47" s="38"/>
      <c r="S47" s="10" t="e">
        <f ca="1">INDEX(INDIRECT("RiskResid_"&amp;DocumentLanguage),MATCH(tbl_Risks[[#This Row],[Niveau Risque Inhérent
Inherent Risk Level]], INDIRECT("niv_risk_"&amp;DocumentLanguage), 0),MATCH(tbl_Risks[[#This Row],[Efficacité finale
Final efficiency]], INDIRECT("effglob_"&amp;DocumentLanguage), 0))</f>
        <v>#N/A</v>
      </c>
    </row>
    <row r="48" spans="1:19">
      <c r="A48" s="38"/>
      <c r="B48" s="38"/>
      <c r="C48" s="39" t="e" cm="1">
        <f t="array" aca="1" ref="C48" ca="1">INDIRECT("tbl_REF_Risques_TDSI[@[Risk Scenario Title "&amp;DocumentLanguage&amp;"]]")</f>
        <v>#REF!</v>
      </c>
      <c r="D48" s="39" t="e" cm="1">
        <f t="array" aca="1" ref="D48" ca="1">INDIRECT("tbl_REF_Risques_TDSI[@[Risk Scenario Description "&amp;DocumentLanguage&amp;"]]")</f>
        <v>#REF!</v>
      </c>
      <c r="E48" s="41"/>
      <c r="F48" s="39"/>
      <c r="G48" s="39"/>
      <c r="H48" s="39"/>
      <c r="I48" s="1" t="str" cm="1">
        <f t="array" aca="1" ref="I48"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48" s="39" t="e" cm="1">
        <f t="array" aca="1" ref="J48" ca="1">INDIRECT("tbl_REF_Risques_TDSI[@[Taxo Cause "&amp;DocumentLanguage&amp;"]]")</f>
        <v>#REF!</v>
      </c>
      <c r="K48" s="39" t="e" cm="1">
        <f t="array" aca="1" ref="K48" ca="1">INDIRECT("tbl_REF_Risques_TDSI[@[Taxo Risk "&amp;DocumentLanguage&amp;"]]")</f>
        <v>#REF!</v>
      </c>
      <c r="L48" s="39" t="e" cm="1">
        <f t="array" aca="1" ref="L48" ca="1">INDIRECT("tbl_REF_Risques_TDSI[@[Taxo Impact "&amp;DocumentLanguage&amp;"]]")</f>
        <v>#REF!</v>
      </c>
      <c r="M48" s="49"/>
      <c r="N48" s="63" t="e" cm="1">
        <f t="array" aca="1" ref="N48"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48" s="38" t="e" cm="1">
        <f t="array" aca="1" ref="O48" ca="1">_xlfn.LET(
 _xlpm.raw,_xlfn.TEXTSPLIT(M48,CHAR(10)),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48" s="38"/>
      <c r="Q48" s="10" t="e">
        <f ca="1">INDEX(INDIRECT("RiskResid_"&amp;DocumentLanguage),MATCH(tbl_Risks[[#This Row],[Niveau Risque Inhérent
Inherent Risk Level]], INDIRECT("niv_risk_"&amp;DocumentLanguage), 0),MATCH(tbl_Risks[[#This Row],[Efficacité globale 
Global efficiency]], INDIRECT("effglob_"&amp;DocumentLanguage), 0))</f>
        <v>#N/A</v>
      </c>
      <c r="R48" s="38"/>
      <c r="S48" s="10" t="e">
        <f ca="1">INDEX(INDIRECT("RiskResid_"&amp;DocumentLanguage),MATCH(tbl_Risks[[#This Row],[Niveau Risque Inhérent
Inherent Risk Level]], INDIRECT("niv_risk_"&amp;DocumentLanguage), 0),MATCH(tbl_Risks[[#This Row],[Efficacité finale
Final efficiency]], INDIRECT("effglob_"&amp;DocumentLanguage), 0))</f>
        <v>#N/A</v>
      </c>
    </row>
    <row r="49" spans="1:19">
      <c r="A49" s="38"/>
      <c r="B49" s="38"/>
      <c r="C49" s="39" t="e" cm="1">
        <f t="array" aca="1" ref="C49" ca="1">INDIRECT("tbl_REF_Risques_TDSI[@[Risk Scenario Title "&amp;DocumentLanguage&amp;"]]")</f>
        <v>#REF!</v>
      </c>
      <c r="D49" s="39" t="e" cm="1">
        <f t="array" aca="1" ref="D49" ca="1">INDIRECT("tbl_REF_Risques_TDSI[@[Risk Scenario Description "&amp;DocumentLanguage&amp;"]]")</f>
        <v>#REF!</v>
      </c>
      <c r="E49" s="41"/>
      <c r="F49" s="39"/>
      <c r="G49" s="39"/>
      <c r="H49" s="39"/>
      <c r="I49" s="1" t="str" cm="1">
        <f t="array" aca="1" ref="I49"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49" s="39" t="e" cm="1">
        <f t="array" aca="1" ref="J49" ca="1">INDIRECT("tbl_REF_Risques_TDSI[@[Taxo Cause "&amp;DocumentLanguage&amp;"]]")</f>
        <v>#REF!</v>
      </c>
      <c r="K49" s="39" t="e" cm="1">
        <f t="array" aca="1" ref="K49" ca="1">INDIRECT("tbl_REF_Risques_TDSI[@[Taxo Risk "&amp;DocumentLanguage&amp;"]]")</f>
        <v>#REF!</v>
      </c>
      <c r="L49" s="39" t="e" cm="1">
        <f t="array" aca="1" ref="L49" ca="1">INDIRECT("tbl_REF_Risques_TDSI[@[Taxo Impact "&amp;DocumentLanguage&amp;"]]")</f>
        <v>#REF!</v>
      </c>
      <c r="M49" s="49"/>
      <c r="N49" s="63" t="e" cm="1">
        <f t="array" aca="1" ref="N49"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49" s="38" t="e" cm="1">
        <f t="array" aca="1" ref="O49" ca="1">_xlfn.LET(
 _xlpm.raw,_xlfn.TEXTSPLIT(M49,CHAR(10)),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49" s="38"/>
      <c r="Q49" s="10" t="e">
        <f ca="1">INDEX(INDIRECT("RiskResid_"&amp;DocumentLanguage),MATCH(tbl_Risks[[#This Row],[Niveau Risque Inhérent
Inherent Risk Level]], INDIRECT("niv_risk_"&amp;DocumentLanguage), 0),MATCH(tbl_Risks[[#This Row],[Efficacité globale 
Global efficiency]], INDIRECT("effglob_"&amp;DocumentLanguage), 0))</f>
        <v>#N/A</v>
      </c>
      <c r="R49" s="38"/>
      <c r="S49" s="10" t="e">
        <f ca="1">INDEX(INDIRECT("RiskResid_"&amp;DocumentLanguage),MATCH(tbl_Risks[[#This Row],[Niveau Risque Inhérent
Inherent Risk Level]], INDIRECT("niv_risk_"&amp;DocumentLanguage), 0),MATCH(tbl_Risks[[#This Row],[Efficacité finale
Final efficiency]], INDIRECT("effglob_"&amp;DocumentLanguage), 0))</f>
        <v>#N/A</v>
      </c>
    </row>
    <row r="50" spans="1:19">
      <c r="A50" s="38"/>
      <c r="B50" s="38"/>
      <c r="C50" s="39" t="e" cm="1">
        <f t="array" aca="1" ref="C50" ca="1">INDIRECT("tbl_REF_Risques_TDSI[@[Risk Scenario Title "&amp;DocumentLanguage&amp;"]]")</f>
        <v>#REF!</v>
      </c>
      <c r="D50" s="39" t="e" cm="1">
        <f t="array" aca="1" ref="D50" ca="1">INDIRECT("tbl_REF_Risques_TDSI[@[Risk Scenario Description "&amp;DocumentLanguage&amp;"]]")</f>
        <v>#REF!</v>
      </c>
      <c r="E50" s="41"/>
      <c r="F50" s="39"/>
      <c r="G50" s="39"/>
      <c r="H50" s="39"/>
      <c r="I50" s="1" t="str" cm="1">
        <f t="array" aca="1" ref="I50"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50" s="39" t="e" cm="1">
        <f t="array" aca="1" ref="J50" ca="1">INDIRECT("tbl_REF_Risques_TDSI[@[Taxo Cause "&amp;DocumentLanguage&amp;"]]")</f>
        <v>#REF!</v>
      </c>
      <c r="K50" s="39" t="e" cm="1">
        <f t="array" aca="1" ref="K50" ca="1">INDIRECT("tbl_REF_Risques_TDSI[@[Taxo Risk "&amp;DocumentLanguage&amp;"]]")</f>
        <v>#REF!</v>
      </c>
      <c r="L50" s="39" t="e" cm="1">
        <f t="array" aca="1" ref="L50" ca="1">INDIRECT("tbl_REF_Risques_TDSI[@[Taxo Impact "&amp;DocumentLanguage&amp;"]]")</f>
        <v>#REF!</v>
      </c>
      <c r="M50" s="49"/>
      <c r="N50" s="63" t="e" cm="1">
        <f t="array" aca="1" ref="N50"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50" s="38" t="e" cm="1">
        <f t="array" aca="1" ref="O50" ca="1">_xlfn.LET(
 _xlpm.raw,_xlfn.TEXTSPLIT(M50,CHAR(10)),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50" s="38"/>
      <c r="Q50" s="10" t="e">
        <f ca="1">INDEX(INDIRECT("RiskResid_"&amp;DocumentLanguage),MATCH(tbl_Risks[[#This Row],[Niveau Risque Inhérent
Inherent Risk Level]], INDIRECT("niv_risk_"&amp;DocumentLanguage), 0),MATCH(tbl_Risks[[#This Row],[Efficacité globale 
Global efficiency]], INDIRECT("effglob_"&amp;DocumentLanguage), 0))</f>
        <v>#N/A</v>
      </c>
      <c r="R50" s="38"/>
      <c r="S50" s="10" t="e">
        <f ca="1">INDEX(INDIRECT("RiskResid_"&amp;DocumentLanguage),MATCH(tbl_Risks[[#This Row],[Niveau Risque Inhérent
Inherent Risk Level]], INDIRECT("niv_risk_"&amp;DocumentLanguage), 0),MATCH(tbl_Risks[[#This Row],[Efficacité finale
Final efficiency]], INDIRECT("effglob_"&amp;DocumentLanguage), 0))</f>
        <v>#N/A</v>
      </c>
    </row>
    <row r="51" spans="1:19">
      <c r="A51" s="38"/>
      <c r="B51" s="38"/>
      <c r="C51" s="39" t="e" cm="1">
        <f t="array" aca="1" ref="C51" ca="1">INDIRECT("tbl_REF_Risques_TDSI[@[Risk Scenario Title "&amp;DocumentLanguage&amp;"]]")</f>
        <v>#REF!</v>
      </c>
      <c r="D51" s="39" t="e" cm="1">
        <f t="array" aca="1" ref="D51" ca="1">INDIRECT("tbl_REF_Risques_TDSI[@[Risk Scenario Description "&amp;DocumentLanguage&amp;"]]")</f>
        <v>#REF!</v>
      </c>
      <c r="E51" s="41"/>
      <c r="F51" s="39"/>
      <c r="G51" s="39"/>
      <c r="H51" s="39"/>
      <c r="I51" s="1" t="str" cm="1">
        <f t="array" aca="1" ref="I51"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51" s="39" t="e" cm="1">
        <f t="array" aca="1" ref="J51" ca="1">INDIRECT("tbl_REF_Risques_TDSI[@[Taxo Cause "&amp;DocumentLanguage&amp;"]]")</f>
        <v>#REF!</v>
      </c>
      <c r="K51" s="39" t="e" cm="1">
        <f t="array" aca="1" ref="K51" ca="1">INDIRECT("tbl_REF_Risques_TDSI[@[Taxo Risk "&amp;DocumentLanguage&amp;"]]")</f>
        <v>#REF!</v>
      </c>
      <c r="L51" s="39" t="e" cm="1">
        <f t="array" aca="1" ref="L51" ca="1">INDIRECT("tbl_REF_Risques_TDSI[@[Taxo Impact "&amp;DocumentLanguage&amp;"]]")</f>
        <v>#REF!</v>
      </c>
      <c r="M51" s="49"/>
      <c r="N51" s="63" t="e" cm="1">
        <f t="array" aca="1" ref="N51"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51" s="38" t="e" cm="1">
        <f t="array" aca="1" ref="O51" ca="1">_xlfn.LET(
 _xlpm.raw,_xlfn.TEXTSPLIT(M51,CHAR(10)),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51" s="38"/>
      <c r="Q51" s="10" t="e">
        <f ca="1">INDEX(INDIRECT("RiskResid_"&amp;DocumentLanguage),MATCH(tbl_Risks[[#This Row],[Niveau Risque Inhérent
Inherent Risk Level]], INDIRECT("niv_risk_"&amp;DocumentLanguage), 0),MATCH(tbl_Risks[[#This Row],[Efficacité globale 
Global efficiency]], INDIRECT("effglob_"&amp;DocumentLanguage), 0))</f>
        <v>#N/A</v>
      </c>
      <c r="R51" s="38"/>
      <c r="S51" s="10" t="e">
        <f ca="1">INDEX(INDIRECT("RiskResid_"&amp;DocumentLanguage),MATCH(tbl_Risks[[#This Row],[Niveau Risque Inhérent
Inherent Risk Level]], INDIRECT("niv_risk_"&amp;DocumentLanguage), 0),MATCH(tbl_Risks[[#This Row],[Efficacité finale
Final efficiency]], INDIRECT("effglob_"&amp;DocumentLanguage), 0))</f>
        <v>#N/A</v>
      </c>
    </row>
    <row r="52" spans="1:19">
      <c r="A52" s="38"/>
      <c r="B52" s="38"/>
      <c r="C52" s="39" t="e" cm="1">
        <f t="array" aca="1" ref="C52" ca="1">INDIRECT("tbl_REF_Risques_TDSI[@[Risk Scenario Title "&amp;DocumentLanguage&amp;"]]")</f>
        <v>#REF!</v>
      </c>
      <c r="D52" s="39" t="e" cm="1">
        <f t="array" aca="1" ref="D52" ca="1">INDIRECT("tbl_REF_Risques_TDSI[@[Risk Scenario Description "&amp;DocumentLanguage&amp;"]]")</f>
        <v>#REF!</v>
      </c>
      <c r="E52" s="41"/>
      <c r="F52" s="39"/>
      <c r="G52" s="39"/>
      <c r="H52" s="39"/>
      <c r="I52" s="1" t="str" cm="1">
        <f t="array" aca="1" ref="I52"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52" s="39" t="e" cm="1">
        <f t="array" aca="1" ref="J52" ca="1">INDIRECT("tbl_REF_Risques_TDSI[@[Taxo Cause "&amp;DocumentLanguage&amp;"]]")</f>
        <v>#REF!</v>
      </c>
      <c r="K52" s="39" t="e" cm="1">
        <f t="array" aca="1" ref="K52" ca="1">INDIRECT("tbl_REF_Risques_TDSI[@[Taxo Risk "&amp;DocumentLanguage&amp;"]]")</f>
        <v>#REF!</v>
      </c>
      <c r="L52" s="39" t="e" cm="1">
        <f t="array" aca="1" ref="L52" ca="1">INDIRECT("tbl_REF_Risques_TDSI[@[Taxo Impact "&amp;DocumentLanguage&amp;"]]")</f>
        <v>#REF!</v>
      </c>
      <c r="M52" s="49"/>
      <c r="N52" s="63" t="e" cm="1">
        <f t="array" aca="1" ref="N52"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52" s="38" t="e" cm="1">
        <f t="array" aca="1" ref="O52" ca="1">_xlfn.LET(
 _xlpm.raw,_xlfn.TEXTSPLIT(M52,CHAR(10)),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52" s="38"/>
      <c r="Q52" s="10" t="e">
        <f ca="1">INDEX(INDIRECT("RiskResid_"&amp;DocumentLanguage),MATCH(tbl_Risks[[#This Row],[Niveau Risque Inhérent
Inherent Risk Level]], INDIRECT("niv_risk_"&amp;DocumentLanguage), 0),MATCH(tbl_Risks[[#This Row],[Efficacité globale 
Global efficiency]], INDIRECT("effglob_"&amp;DocumentLanguage), 0))</f>
        <v>#N/A</v>
      </c>
      <c r="R52" s="38"/>
      <c r="S52" s="10" t="e">
        <f ca="1">INDEX(INDIRECT("RiskResid_"&amp;DocumentLanguage),MATCH(tbl_Risks[[#This Row],[Niveau Risque Inhérent
Inherent Risk Level]], INDIRECT("niv_risk_"&amp;DocumentLanguage), 0),MATCH(tbl_Risks[[#This Row],[Efficacité finale
Final efficiency]], INDIRECT("effglob_"&amp;DocumentLanguage), 0))</f>
        <v>#N/A</v>
      </c>
    </row>
    <row r="53" spans="1:19">
      <c r="A53" s="38"/>
      <c r="B53" s="38"/>
      <c r="C53" s="39" t="e" cm="1">
        <f t="array" aca="1" ref="C53" ca="1">INDIRECT("tbl_REF_Risques_TDSI[@[Risk Scenario Title "&amp;DocumentLanguage&amp;"]]")</f>
        <v>#REF!</v>
      </c>
      <c r="D53" s="39" t="e" cm="1">
        <f t="array" aca="1" ref="D53" ca="1">INDIRECT("tbl_REF_Risques_TDSI[@[Risk Scenario Description "&amp;DocumentLanguage&amp;"]]")</f>
        <v>#REF!</v>
      </c>
      <c r="E53" s="41"/>
      <c r="F53" s="39"/>
      <c r="G53" s="39"/>
      <c r="H53" s="39"/>
      <c r="I53" s="1" t="str" cm="1">
        <f t="array" aca="1" ref="I53"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53" s="39" t="e" cm="1">
        <f t="array" aca="1" ref="J53" ca="1">INDIRECT("tbl_REF_Risques_TDSI[@[Taxo Cause "&amp;DocumentLanguage&amp;"]]")</f>
        <v>#REF!</v>
      </c>
      <c r="K53" s="39" t="e" cm="1">
        <f t="array" aca="1" ref="K53" ca="1">INDIRECT("tbl_REF_Risques_TDSI[@[Taxo Risk "&amp;DocumentLanguage&amp;"]]")</f>
        <v>#REF!</v>
      </c>
      <c r="L53" s="39" t="e" cm="1">
        <f t="array" aca="1" ref="L53" ca="1">INDIRECT("tbl_REF_Risques_TDSI[@[Taxo Impact "&amp;DocumentLanguage&amp;"]]")</f>
        <v>#REF!</v>
      </c>
      <c r="M53" s="49"/>
      <c r="N53" s="63" t="e" cm="1">
        <f t="array" aca="1" ref="N53"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53" s="38" t="e" cm="1">
        <f t="array" aca="1" ref="O53" ca="1">_xlfn.LET(
 _xlpm.raw,_xlfn.TEXTSPLIT(M53,CHAR(10)),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53" s="38"/>
      <c r="Q53" s="10" t="e">
        <f ca="1">INDEX(INDIRECT("RiskResid_"&amp;DocumentLanguage),MATCH(tbl_Risks[[#This Row],[Niveau Risque Inhérent
Inherent Risk Level]], INDIRECT("niv_risk_"&amp;DocumentLanguage), 0),MATCH(tbl_Risks[[#This Row],[Efficacité globale 
Global efficiency]], INDIRECT("effglob_"&amp;DocumentLanguage), 0))</f>
        <v>#N/A</v>
      </c>
      <c r="R53" s="38"/>
      <c r="S53" s="10" t="e">
        <f ca="1">INDEX(INDIRECT("RiskResid_"&amp;DocumentLanguage),MATCH(tbl_Risks[[#This Row],[Niveau Risque Inhérent
Inherent Risk Level]], INDIRECT("niv_risk_"&amp;DocumentLanguage), 0),MATCH(tbl_Risks[[#This Row],[Efficacité finale
Final efficiency]], INDIRECT("effglob_"&amp;DocumentLanguage), 0))</f>
        <v>#N/A</v>
      </c>
    </row>
    <row r="54" spans="1:19">
      <c r="A54" s="38"/>
      <c r="B54" s="38"/>
      <c r="C54" s="39" t="e" cm="1">
        <f t="array" aca="1" ref="C54" ca="1">INDIRECT("tbl_REF_Risques_TDSI[@[Risk Scenario Title "&amp;DocumentLanguage&amp;"]]")</f>
        <v>#REF!</v>
      </c>
      <c r="D54" s="39" t="e" cm="1">
        <f t="array" aca="1" ref="D54" ca="1">INDIRECT("tbl_REF_Risques_TDSI[@[Risk Scenario Description "&amp;DocumentLanguage&amp;"]]")</f>
        <v>#REF!</v>
      </c>
      <c r="E54" s="41"/>
      <c r="F54" s="39"/>
      <c r="G54" s="39"/>
      <c r="H54" s="39"/>
      <c r="I54" s="1" t="str" cm="1">
        <f t="array" aca="1" ref="I54"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54" s="39" t="e" cm="1">
        <f t="array" aca="1" ref="J54" ca="1">INDIRECT("tbl_REF_Risques_TDSI[@[Taxo Cause "&amp;DocumentLanguage&amp;"]]")</f>
        <v>#REF!</v>
      </c>
      <c r="K54" s="39" t="e" cm="1">
        <f t="array" aca="1" ref="K54" ca="1">INDIRECT("tbl_REF_Risques_TDSI[@[Taxo Risk "&amp;DocumentLanguage&amp;"]]")</f>
        <v>#REF!</v>
      </c>
      <c r="L54" s="39" t="e" cm="1">
        <f t="array" aca="1" ref="L54" ca="1">INDIRECT("tbl_REF_Risques_TDSI[@[Taxo Impact "&amp;DocumentLanguage&amp;"]]")</f>
        <v>#REF!</v>
      </c>
      <c r="M54" s="49"/>
      <c r="N54" s="63" t="e" cm="1">
        <f t="array" aca="1" ref="N54"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54" s="38" t="e" cm="1">
        <f t="array" aca="1" ref="O54" ca="1">_xlfn.LET(
 _xlpm.raw,_xlfn.TEXTSPLIT(M54,CHAR(10)),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54" s="38"/>
      <c r="Q54" s="10" t="e">
        <f ca="1">INDEX(INDIRECT("RiskResid_"&amp;DocumentLanguage),MATCH(tbl_Risks[[#This Row],[Niveau Risque Inhérent
Inherent Risk Level]], INDIRECT("niv_risk_"&amp;DocumentLanguage), 0),MATCH(tbl_Risks[[#This Row],[Efficacité globale 
Global efficiency]], INDIRECT("effglob_"&amp;DocumentLanguage), 0))</f>
        <v>#N/A</v>
      </c>
      <c r="R54" s="38"/>
      <c r="S54" s="10" t="e">
        <f ca="1">INDEX(INDIRECT("RiskResid_"&amp;DocumentLanguage),MATCH(tbl_Risks[[#This Row],[Niveau Risque Inhérent
Inherent Risk Level]], INDIRECT("niv_risk_"&amp;DocumentLanguage), 0),MATCH(tbl_Risks[[#This Row],[Efficacité finale
Final efficiency]], INDIRECT("effglob_"&amp;DocumentLanguage), 0))</f>
        <v>#N/A</v>
      </c>
    </row>
    <row r="55" spans="1:19">
      <c r="A55" s="38"/>
      <c r="B55" s="38"/>
      <c r="C55" s="39" t="e" cm="1">
        <f t="array" aca="1" ref="C55" ca="1">INDIRECT("tbl_REF_Risques_TDSI[@[Risk Scenario Title "&amp;DocumentLanguage&amp;"]]")</f>
        <v>#REF!</v>
      </c>
      <c r="D55" s="39" t="e" cm="1">
        <f t="array" aca="1" ref="D55" ca="1">INDIRECT("tbl_REF_Risques_TDSI[@[Risk Scenario Description "&amp;DocumentLanguage&amp;"]]")</f>
        <v>#REF!</v>
      </c>
      <c r="E55" s="41"/>
      <c r="F55" s="39"/>
      <c r="G55" s="39"/>
      <c r="H55" s="39"/>
      <c r="I55" s="1" t="str" cm="1">
        <f t="array" aca="1" ref="I55"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55" s="39" t="e" cm="1">
        <f t="array" aca="1" ref="J55" ca="1">INDIRECT("tbl_REF_Risques_TDSI[@[Taxo Cause "&amp;DocumentLanguage&amp;"]]")</f>
        <v>#REF!</v>
      </c>
      <c r="K55" s="39" t="e" cm="1">
        <f t="array" aca="1" ref="K55" ca="1">INDIRECT("tbl_REF_Risques_TDSI[@[Taxo Risk "&amp;DocumentLanguage&amp;"]]")</f>
        <v>#REF!</v>
      </c>
      <c r="L55" s="39" t="e" cm="1">
        <f t="array" aca="1" ref="L55" ca="1">INDIRECT("tbl_REF_Risques_TDSI[@[Taxo Impact "&amp;DocumentLanguage&amp;"]]")</f>
        <v>#REF!</v>
      </c>
      <c r="M55" s="49"/>
      <c r="N55" s="63" t="e" cm="1">
        <f t="array" aca="1" ref="N55"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55" s="38" t="e" cm="1">
        <f t="array" aca="1" ref="O55" ca="1">_xlfn.LET(
 _xlpm.raw,_xlfn.TEXTSPLIT(M55,CHAR(10)),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55" s="38"/>
      <c r="Q55" s="10" t="e">
        <f ca="1">INDEX(INDIRECT("RiskResid_"&amp;DocumentLanguage),MATCH(tbl_Risks[[#This Row],[Niveau Risque Inhérent
Inherent Risk Level]], INDIRECT("niv_risk_"&amp;DocumentLanguage), 0),MATCH(tbl_Risks[[#This Row],[Efficacité globale 
Global efficiency]], INDIRECT("effglob_"&amp;DocumentLanguage), 0))</f>
        <v>#N/A</v>
      </c>
      <c r="R55" s="38"/>
      <c r="S55" s="10" t="e">
        <f ca="1">INDEX(INDIRECT("RiskResid_"&amp;DocumentLanguage),MATCH(tbl_Risks[[#This Row],[Niveau Risque Inhérent
Inherent Risk Level]], INDIRECT("niv_risk_"&amp;DocumentLanguage), 0),MATCH(tbl_Risks[[#This Row],[Efficacité finale
Final efficiency]], INDIRECT("effglob_"&amp;DocumentLanguage), 0))</f>
        <v>#N/A</v>
      </c>
    </row>
    <row r="56" spans="1:19">
      <c r="A56" s="38"/>
      <c r="B56" s="38"/>
      <c r="C56" s="39" t="e" cm="1">
        <f t="array" aca="1" ref="C56" ca="1">INDIRECT("tbl_REF_Risques_TDSI[@[Risk Scenario Title "&amp;DocumentLanguage&amp;"]]")</f>
        <v>#REF!</v>
      </c>
      <c r="D56" s="39" t="e" cm="1">
        <f t="array" aca="1" ref="D56" ca="1">INDIRECT("tbl_REF_Risques_TDSI[@[Risk Scenario Description "&amp;DocumentLanguage&amp;"]]")</f>
        <v>#REF!</v>
      </c>
      <c r="E56" s="41"/>
      <c r="F56" s="39"/>
      <c r="G56" s="39"/>
      <c r="H56" s="39"/>
      <c r="I56" s="1" t="str" cm="1">
        <f t="array" aca="1" ref="I56"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56" s="39" t="e" cm="1">
        <f t="array" aca="1" ref="J56" ca="1">INDIRECT("tbl_REF_Risques_TDSI[@[Taxo Cause "&amp;DocumentLanguage&amp;"]]")</f>
        <v>#REF!</v>
      </c>
      <c r="K56" s="39" t="e" cm="1">
        <f t="array" aca="1" ref="K56" ca="1">INDIRECT("tbl_REF_Risques_TDSI[@[Taxo Risk "&amp;DocumentLanguage&amp;"]]")</f>
        <v>#REF!</v>
      </c>
      <c r="L56" s="39" t="e" cm="1">
        <f t="array" aca="1" ref="L56" ca="1">INDIRECT("tbl_REF_Risques_TDSI[@[Taxo Impact "&amp;DocumentLanguage&amp;"]]")</f>
        <v>#REF!</v>
      </c>
      <c r="M56" s="49"/>
      <c r="N56" s="63" t="e" cm="1">
        <f t="array" aca="1" ref="N56"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56" s="38" t="e" cm="1">
        <f t="array" aca="1" ref="O56" ca="1">_xlfn.LET(
 _xlpm.raw,_xlfn.TEXTSPLIT(M56,CHAR(10)),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56" s="38"/>
      <c r="Q56" s="10" t="e">
        <f ca="1">INDEX(INDIRECT("RiskResid_"&amp;DocumentLanguage),MATCH(tbl_Risks[[#This Row],[Niveau Risque Inhérent
Inherent Risk Level]], INDIRECT("niv_risk_"&amp;DocumentLanguage), 0),MATCH(tbl_Risks[[#This Row],[Efficacité globale 
Global efficiency]], INDIRECT("effglob_"&amp;DocumentLanguage), 0))</f>
        <v>#N/A</v>
      </c>
      <c r="R56" s="38"/>
      <c r="S56" s="10" t="e">
        <f ca="1">INDEX(INDIRECT("RiskResid_"&amp;DocumentLanguage),MATCH(tbl_Risks[[#This Row],[Niveau Risque Inhérent
Inherent Risk Level]], INDIRECT("niv_risk_"&amp;DocumentLanguage), 0),MATCH(tbl_Risks[[#This Row],[Efficacité finale
Final efficiency]], INDIRECT("effglob_"&amp;DocumentLanguage), 0))</f>
        <v>#N/A</v>
      </c>
    </row>
    <row r="57" spans="1:19">
      <c r="A57" s="38"/>
      <c r="B57" s="38"/>
      <c r="C57" s="39" t="e" cm="1">
        <f t="array" aca="1" ref="C57" ca="1">INDIRECT("tbl_REF_Risques_TDSI[@[Risk Scenario Title "&amp;DocumentLanguage&amp;"]]")</f>
        <v>#REF!</v>
      </c>
      <c r="D57" s="39" t="e" cm="1">
        <f t="array" aca="1" ref="D57" ca="1">INDIRECT("tbl_REF_Risques_TDSI[@[Risk Scenario Description "&amp;DocumentLanguage&amp;"]]")</f>
        <v>#REF!</v>
      </c>
      <c r="E57" s="41"/>
      <c r="F57" s="39"/>
      <c r="G57" s="39"/>
      <c r="H57" s="39"/>
      <c r="I57" s="1" t="str" cm="1">
        <f t="array" aca="1" ref="I57"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57" s="39" t="e" cm="1">
        <f t="array" aca="1" ref="J57" ca="1">INDIRECT("tbl_REF_Risques_TDSI[@[Taxo Cause "&amp;DocumentLanguage&amp;"]]")</f>
        <v>#REF!</v>
      </c>
      <c r="K57" s="39" t="e" cm="1">
        <f t="array" aca="1" ref="K57" ca="1">INDIRECT("tbl_REF_Risques_TDSI[@[Taxo Risk "&amp;DocumentLanguage&amp;"]]")</f>
        <v>#REF!</v>
      </c>
      <c r="L57" s="39" t="e" cm="1">
        <f t="array" aca="1" ref="L57" ca="1">INDIRECT("tbl_REF_Risques_TDSI[@[Taxo Impact "&amp;DocumentLanguage&amp;"]]")</f>
        <v>#REF!</v>
      </c>
      <c r="M57" s="49"/>
      <c r="N57" s="63" t="e" cm="1">
        <f t="array" aca="1" ref="N57"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57" s="38" t="e" cm="1">
        <f t="array" aca="1" ref="O57" ca="1">_xlfn.LET(
 _xlpm.raw,_xlfn.TEXTSPLIT(M57,CHAR(10)),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57" s="38"/>
      <c r="Q57" s="10" t="e">
        <f ca="1">INDEX(INDIRECT("RiskResid_"&amp;DocumentLanguage),MATCH(tbl_Risks[[#This Row],[Niveau Risque Inhérent
Inherent Risk Level]], INDIRECT("niv_risk_"&amp;DocumentLanguage), 0),MATCH(tbl_Risks[[#This Row],[Efficacité globale 
Global efficiency]], INDIRECT("effglob_"&amp;DocumentLanguage), 0))</f>
        <v>#N/A</v>
      </c>
      <c r="R57" s="38"/>
      <c r="S57" s="10" t="e">
        <f ca="1">INDEX(INDIRECT("RiskResid_"&amp;DocumentLanguage),MATCH(tbl_Risks[[#This Row],[Niveau Risque Inhérent
Inherent Risk Level]], INDIRECT("niv_risk_"&amp;DocumentLanguage), 0),MATCH(tbl_Risks[[#This Row],[Efficacité finale
Final efficiency]], INDIRECT("effglob_"&amp;DocumentLanguage), 0))</f>
        <v>#N/A</v>
      </c>
    </row>
    <row r="58" spans="1:19">
      <c r="A58" s="38"/>
      <c r="B58" s="38"/>
      <c r="C58" s="39" t="e" cm="1">
        <f t="array" aca="1" ref="C58" ca="1">INDIRECT("tbl_REF_Risques_TDSI[@[Risk Scenario Title "&amp;DocumentLanguage&amp;"]]")</f>
        <v>#REF!</v>
      </c>
      <c r="D58" s="39" t="e" cm="1">
        <f t="array" aca="1" ref="D58" ca="1">INDIRECT("tbl_REF_Risques_TDSI[@[Risk Scenario Description "&amp;DocumentLanguage&amp;"]]")</f>
        <v>#REF!</v>
      </c>
      <c r="E58" s="41"/>
      <c r="F58" s="39"/>
      <c r="G58" s="39"/>
      <c r="H58" s="39"/>
      <c r="I58" s="1" t="str" cm="1">
        <f t="array" aca="1" ref="I58"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58" s="39" t="e" cm="1">
        <f t="array" aca="1" ref="J58" ca="1">INDIRECT("tbl_REF_Risques_TDSI[@[Taxo Cause "&amp;DocumentLanguage&amp;"]]")</f>
        <v>#REF!</v>
      </c>
      <c r="K58" s="39" t="e" cm="1">
        <f t="array" aca="1" ref="K58" ca="1">INDIRECT("tbl_REF_Risques_TDSI[@[Taxo Risk "&amp;DocumentLanguage&amp;"]]")</f>
        <v>#REF!</v>
      </c>
      <c r="L58" s="39" t="e" cm="1">
        <f t="array" aca="1" ref="L58" ca="1">INDIRECT("tbl_REF_Risques_TDSI[@[Taxo Impact "&amp;DocumentLanguage&amp;"]]")</f>
        <v>#REF!</v>
      </c>
      <c r="M58" s="49"/>
      <c r="N58" s="63" t="e" cm="1">
        <f t="array" aca="1" ref="N58"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58" s="38" t="e" cm="1">
        <f t="array" aca="1" ref="O58" ca="1">_xlfn.LET(
 _xlpm.raw,_xlfn.TEXTSPLIT(M58,CHAR(10)),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58" s="38"/>
      <c r="Q58" s="10" t="e">
        <f ca="1">INDEX(INDIRECT("RiskResid_"&amp;DocumentLanguage),MATCH(tbl_Risks[[#This Row],[Niveau Risque Inhérent
Inherent Risk Level]], INDIRECT("niv_risk_"&amp;DocumentLanguage), 0),MATCH(tbl_Risks[[#This Row],[Efficacité globale 
Global efficiency]], INDIRECT("effglob_"&amp;DocumentLanguage), 0))</f>
        <v>#N/A</v>
      </c>
      <c r="R58" s="38"/>
      <c r="S58" s="10" t="e">
        <f ca="1">INDEX(INDIRECT("RiskResid_"&amp;DocumentLanguage),MATCH(tbl_Risks[[#This Row],[Niveau Risque Inhérent
Inherent Risk Level]], INDIRECT("niv_risk_"&amp;DocumentLanguage), 0),MATCH(tbl_Risks[[#This Row],[Efficacité finale
Final efficiency]], INDIRECT("effglob_"&amp;DocumentLanguage), 0))</f>
        <v>#N/A</v>
      </c>
    </row>
    <row r="59" spans="1:19">
      <c r="A59" s="38"/>
      <c r="B59" s="38"/>
      <c r="C59" s="39" t="e" cm="1">
        <f t="array" aca="1" ref="C59" ca="1">INDIRECT("tbl_REF_Risques_TDSI[@[Risk Scenario Title "&amp;DocumentLanguage&amp;"]]")</f>
        <v>#REF!</v>
      </c>
      <c r="D59" s="39" t="e" cm="1">
        <f t="array" aca="1" ref="D59" ca="1">INDIRECT("tbl_REF_Risques_TDSI[@[Risk Scenario Description "&amp;DocumentLanguage&amp;"]]")</f>
        <v>#REF!</v>
      </c>
      <c r="E59" s="41"/>
      <c r="F59" s="39"/>
      <c r="G59" s="39"/>
      <c r="H59" s="39"/>
      <c r="I59" s="1" t="str" cm="1">
        <f t="array" aca="1" ref="I59"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59" s="39" t="e" cm="1">
        <f t="array" aca="1" ref="J59" ca="1">INDIRECT("tbl_REF_Risques_TDSI[@[Taxo Cause "&amp;DocumentLanguage&amp;"]]")</f>
        <v>#REF!</v>
      </c>
      <c r="K59" s="39" t="e" cm="1">
        <f t="array" aca="1" ref="K59" ca="1">INDIRECT("tbl_REF_Risques_TDSI[@[Taxo Risk "&amp;DocumentLanguage&amp;"]]")</f>
        <v>#REF!</v>
      </c>
      <c r="L59" s="39" t="e" cm="1">
        <f t="array" aca="1" ref="L59" ca="1">INDIRECT("tbl_REF_Risques_TDSI[@[Taxo Impact "&amp;DocumentLanguage&amp;"]]")</f>
        <v>#REF!</v>
      </c>
      <c r="M59" s="49"/>
      <c r="N59" s="63" t="e" cm="1">
        <f t="array" aca="1" ref="N59"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59" s="38" t="e" cm="1">
        <f t="array" aca="1" ref="O59" ca="1">_xlfn.LET(
 _xlpm.raw,_xlfn.TEXTSPLIT(M59,CHAR(10)),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59" s="38"/>
      <c r="Q59" s="10" t="e">
        <f ca="1">INDEX(INDIRECT("RiskResid_"&amp;DocumentLanguage),MATCH(tbl_Risks[[#This Row],[Niveau Risque Inhérent
Inherent Risk Level]], INDIRECT("niv_risk_"&amp;DocumentLanguage), 0),MATCH(tbl_Risks[[#This Row],[Efficacité globale 
Global efficiency]], INDIRECT("effglob_"&amp;DocumentLanguage), 0))</f>
        <v>#N/A</v>
      </c>
      <c r="R59" s="38"/>
      <c r="S59" s="10" t="e">
        <f ca="1">INDEX(INDIRECT("RiskResid_"&amp;DocumentLanguage),MATCH(tbl_Risks[[#This Row],[Niveau Risque Inhérent
Inherent Risk Level]], INDIRECT("niv_risk_"&amp;DocumentLanguage), 0),MATCH(tbl_Risks[[#This Row],[Efficacité finale
Final efficiency]], INDIRECT("effglob_"&amp;DocumentLanguage), 0))</f>
        <v>#N/A</v>
      </c>
    </row>
    <row r="60" spans="1:19">
      <c r="A60" s="38"/>
      <c r="B60" s="38"/>
      <c r="C60" s="39" t="e" cm="1">
        <f t="array" aca="1" ref="C60" ca="1">INDIRECT("tbl_REF_Risques_TDSI[@[Risk Scenario Title "&amp;DocumentLanguage&amp;"]]")</f>
        <v>#REF!</v>
      </c>
      <c r="D60" s="39" t="e" cm="1">
        <f t="array" aca="1" ref="D60" ca="1">INDIRECT("tbl_REF_Risques_TDSI[@[Risk Scenario Description "&amp;DocumentLanguage&amp;"]]")</f>
        <v>#REF!</v>
      </c>
      <c r="E60" s="41"/>
      <c r="F60" s="39"/>
      <c r="G60" s="39"/>
      <c r="H60" s="39"/>
      <c r="I60" s="1" t="str" cm="1">
        <f t="array" aca="1" ref="I60"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60" s="39" t="e" cm="1">
        <f t="array" aca="1" ref="J60" ca="1">INDIRECT("tbl_REF_Risques_TDSI[@[Taxo Cause "&amp;DocumentLanguage&amp;"]]")</f>
        <v>#REF!</v>
      </c>
      <c r="K60" s="39" t="e" cm="1">
        <f t="array" aca="1" ref="K60" ca="1">INDIRECT("tbl_REF_Risques_TDSI[@[Taxo Risk "&amp;DocumentLanguage&amp;"]]")</f>
        <v>#REF!</v>
      </c>
      <c r="L60" s="39" t="e" cm="1">
        <f t="array" aca="1" ref="L60" ca="1">INDIRECT("tbl_REF_Risques_TDSI[@[Taxo Impact "&amp;DocumentLanguage&amp;"]]")</f>
        <v>#REF!</v>
      </c>
      <c r="M60" s="49"/>
      <c r="N60" s="63" t="e" cm="1">
        <f t="array" aca="1" ref="N60"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60" s="38" t="e" cm="1">
        <f t="array" aca="1" ref="O60" ca="1">_xlfn.LET(
 _xlpm.raw,_xlfn.TEXTSPLIT(M60,CHAR(10)),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60" s="38"/>
      <c r="Q60" s="10" t="e">
        <f ca="1">INDEX(INDIRECT("RiskResid_"&amp;DocumentLanguage),MATCH(tbl_Risks[[#This Row],[Niveau Risque Inhérent
Inherent Risk Level]], INDIRECT("niv_risk_"&amp;DocumentLanguage), 0),MATCH(tbl_Risks[[#This Row],[Efficacité globale 
Global efficiency]], INDIRECT("effglob_"&amp;DocumentLanguage), 0))</f>
        <v>#N/A</v>
      </c>
      <c r="R60" s="38"/>
      <c r="S60" s="10" t="e">
        <f ca="1">INDEX(INDIRECT("RiskResid_"&amp;DocumentLanguage),MATCH(tbl_Risks[[#This Row],[Niveau Risque Inhérent
Inherent Risk Level]], INDIRECT("niv_risk_"&amp;DocumentLanguage), 0),MATCH(tbl_Risks[[#This Row],[Efficacité finale
Final efficiency]], INDIRECT("effglob_"&amp;DocumentLanguage), 0))</f>
        <v>#N/A</v>
      </c>
    </row>
    <row r="61" spans="1:19">
      <c r="A61" s="38"/>
      <c r="B61" s="38"/>
      <c r="C61" s="39" t="e" cm="1">
        <f t="array" aca="1" ref="C61" ca="1">INDIRECT("tbl_REF_Risques_TDSI[@[Risk Scenario Title "&amp;DocumentLanguage&amp;"]]")</f>
        <v>#REF!</v>
      </c>
      <c r="D61" s="39" t="e" cm="1">
        <f t="array" aca="1" ref="D61" ca="1">INDIRECT("tbl_REF_Risques_TDSI[@[Risk Scenario Description "&amp;DocumentLanguage&amp;"]]")</f>
        <v>#REF!</v>
      </c>
      <c r="E61" s="41"/>
      <c r="F61" s="39"/>
      <c r="G61" s="39"/>
      <c r="H61" s="39"/>
      <c r="I61" s="1" t="str" cm="1">
        <f t="array" aca="1" ref="I61"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61" s="39" t="e" cm="1">
        <f t="array" aca="1" ref="J61" ca="1">INDIRECT("tbl_REF_Risques_TDSI[@[Taxo Cause "&amp;DocumentLanguage&amp;"]]")</f>
        <v>#REF!</v>
      </c>
      <c r="K61" s="39" t="e" cm="1">
        <f t="array" aca="1" ref="K61" ca="1">INDIRECT("tbl_REF_Risques_TDSI[@[Taxo Risk "&amp;DocumentLanguage&amp;"]]")</f>
        <v>#REF!</v>
      </c>
      <c r="L61" s="39" t="e" cm="1">
        <f t="array" aca="1" ref="L61" ca="1">INDIRECT("tbl_REF_Risques_TDSI[@[Taxo Impact "&amp;DocumentLanguage&amp;"]]")</f>
        <v>#REF!</v>
      </c>
      <c r="M61" s="49"/>
      <c r="N61" s="63" t="e" cm="1">
        <f t="array" aca="1" ref="N61"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61" s="38" t="e" cm="1">
        <f t="array" aca="1" ref="O61" ca="1">_xlfn.LET(
 _xlpm.raw,_xlfn.TEXTSPLIT(M61,CHAR(10)),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61" s="38"/>
      <c r="Q61" s="10" t="e">
        <f ca="1">INDEX(INDIRECT("RiskResid_"&amp;DocumentLanguage),MATCH(tbl_Risks[[#This Row],[Niveau Risque Inhérent
Inherent Risk Level]], INDIRECT("niv_risk_"&amp;DocumentLanguage), 0),MATCH(tbl_Risks[[#This Row],[Efficacité globale 
Global efficiency]], INDIRECT("effglob_"&amp;DocumentLanguage), 0))</f>
        <v>#N/A</v>
      </c>
      <c r="R61" s="38"/>
      <c r="S61" s="10" t="e">
        <f ca="1">INDEX(INDIRECT("RiskResid_"&amp;DocumentLanguage),MATCH(tbl_Risks[[#This Row],[Niveau Risque Inhérent
Inherent Risk Level]], INDIRECT("niv_risk_"&amp;DocumentLanguage), 0),MATCH(tbl_Risks[[#This Row],[Efficacité finale
Final efficiency]], INDIRECT("effglob_"&amp;DocumentLanguage), 0))</f>
        <v>#N/A</v>
      </c>
    </row>
    <row r="62" spans="1:19">
      <c r="A62" s="38"/>
      <c r="B62" s="38"/>
      <c r="C62" s="39" t="e" cm="1">
        <f t="array" aca="1" ref="C62" ca="1">INDIRECT("tbl_REF_Risques_TDSI[@[Risk Scenario Title "&amp;DocumentLanguage&amp;"]]")</f>
        <v>#REF!</v>
      </c>
      <c r="D62" s="39" t="e" cm="1">
        <f t="array" aca="1" ref="D62" ca="1">INDIRECT("tbl_REF_Risques_TDSI[@[Risk Scenario Description "&amp;DocumentLanguage&amp;"]]")</f>
        <v>#REF!</v>
      </c>
      <c r="E62" s="41"/>
      <c r="F62" s="39"/>
      <c r="G62" s="39"/>
      <c r="H62" s="39"/>
      <c r="I62" s="1" t="str" cm="1">
        <f t="array" aca="1" ref="I62"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62" s="39" t="e" cm="1">
        <f t="array" aca="1" ref="J62" ca="1">INDIRECT("tbl_REF_Risques_TDSI[@[Taxo Cause "&amp;DocumentLanguage&amp;"]]")</f>
        <v>#REF!</v>
      </c>
      <c r="K62" s="39" t="e" cm="1">
        <f t="array" aca="1" ref="K62" ca="1">INDIRECT("tbl_REF_Risques_TDSI[@[Taxo Risk "&amp;DocumentLanguage&amp;"]]")</f>
        <v>#REF!</v>
      </c>
      <c r="L62" s="39" t="e" cm="1">
        <f t="array" aca="1" ref="L62" ca="1">INDIRECT("tbl_REF_Risques_TDSI[@[Taxo Impact "&amp;DocumentLanguage&amp;"]]")</f>
        <v>#REF!</v>
      </c>
      <c r="M62" s="49"/>
      <c r="N62" s="63" t="e" cm="1">
        <f t="array" aca="1" ref="N62"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62" s="38" t="e" cm="1">
        <f t="array" aca="1" ref="O62" ca="1">_xlfn.LET(
 _xlpm.raw,_xlfn.TEXTSPLIT(M62,CHAR(10)),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62" s="38"/>
      <c r="Q62" s="10" t="e">
        <f ca="1">INDEX(INDIRECT("RiskResid_"&amp;DocumentLanguage),MATCH(tbl_Risks[[#This Row],[Niveau Risque Inhérent
Inherent Risk Level]], INDIRECT("niv_risk_"&amp;DocumentLanguage), 0),MATCH(tbl_Risks[[#This Row],[Efficacité globale 
Global efficiency]], INDIRECT("effglob_"&amp;DocumentLanguage), 0))</f>
        <v>#N/A</v>
      </c>
      <c r="R62" s="38"/>
      <c r="S62" s="10" t="e">
        <f ca="1">INDEX(INDIRECT("RiskResid_"&amp;DocumentLanguage),MATCH(tbl_Risks[[#This Row],[Niveau Risque Inhérent
Inherent Risk Level]], INDIRECT("niv_risk_"&amp;DocumentLanguage), 0),MATCH(tbl_Risks[[#This Row],[Efficacité finale
Final efficiency]], INDIRECT("effglob_"&amp;DocumentLanguage), 0))</f>
        <v>#N/A</v>
      </c>
    </row>
    <row r="63" spans="1:19">
      <c r="A63" s="38"/>
      <c r="B63" s="38"/>
      <c r="C63" s="39" t="e" cm="1">
        <f t="array" aca="1" ref="C63" ca="1">INDIRECT("tbl_REF_Risques_TDSI[@[Risk Scenario Title "&amp;DocumentLanguage&amp;"]]")</f>
        <v>#REF!</v>
      </c>
      <c r="D63" s="39" t="e" cm="1">
        <f t="array" aca="1" ref="D63" ca="1">INDIRECT("tbl_REF_Risques_TDSI[@[Risk Scenario Description "&amp;DocumentLanguage&amp;"]]")</f>
        <v>#REF!</v>
      </c>
      <c r="E63" s="41"/>
      <c r="F63" s="39"/>
      <c r="G63" s="39"/>
      <c r="H63" s="39"/>
      <c r="I63" s="1" t="str" cm="1">
        <f t="array" aca="1" ref="I63"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63" s="39" t="e" cm="1">
        <f t="array" aca="1" ref="J63" ca="1">INDIRECT("tbl_REF_Risques_TDSI[@[Taxo Cause "&amp;DocumentLanguage&amp;"]]")</f>
        <v>#REF!</v>
      </c>
      <c r="K63" s="39" t="e" cm="1">
        <f t="array" aca="1" ref="K63" ca="1">INDIRECT("tbl_REF_Risques_TDSI[@[Taxo Risk "&amp;DocumentLanguage&amp;"]]")</f>
        <v>#REF!</v>
      </c>
      <c r="L63" s="39" t="e" cm="1">
        <f t="array" aca="1" ref="L63" ca="1">INDIRECT("tbl_REF_Risques_TDSI[@[Taxo Impact "&amp;DocumentLanguage&amp;"]]")</f>
        <v>#REF!</v>
      </c>
      <c r="M63" s="49"/>
      <c r="N63" s="63" t="e" cm="1">
        <f t="array" aca="1" ref="N63"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63" s="38" t="e" cm="1">
        <f t="array" aca="1" ref="O63" ca="1">_xlfn.LET(
 _xlpm.raw,_xlfn.TEXTSPLIT(M63,CHAR(10)),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63" s="38"/>
      <c r="Q63" s="10" t="e">
        <f ca="1">INDEX(INDIRECT("RiskResid_"&amp;DocumentLanguage),MATCH(tbl_Risks[[#This Row],[Niveau Risque Inhérent
Inherent Risk Level]], INDIRECT("niv_risk_"&amp;DocumentLanguage), 0),MATCH(tbl_Risks[[#This Row],[Efficacité globale 
Global efficiency]], INDIRECT("effglob_"&amp;DocumentLanguage), 0))</f>
        <v>#N/A</v>
      </c>
      <c r="R63" s="38"/>
      <c r="S63" s="10" t="e">
        <f ca="1">INDEX(INDIRECT("RiskResid_"&amp;DocumentLanguage),MATCH(tbl_Risks[[#This Row],[Niveau Risque Inhérent
Inherent Risk Level]], INDIRECT("niv_risk_"&amp;DocumentLanguage), 0),MATCH(tbl_Risks[[#This Row],[Efficacité finale
Final efficiency]], INDIRECT("effglob_"&amp;DocumentLanguage), 0))</f>
        <v>#N/A</v>
      </c>
    </row>
    <row r="64" spans="1:19">
      <c r="A64" s="38"/>
      <c r="B64" s="38"/>
      <c r="C64" s="39" t="e" cm="1">
        <f t="array" aca="1" ref="C64" ca="1">INDIRECT("tbl_REF_Risques_TDSI[@[Risk Scenario Title "&amp;DocumentLanguage&amp;"]]")</f>
        <v>#REF!</v>
      </c>
      <c r="D64" s="39" t="e" cm="1">
        <f t="array" aca="1" ref="D64" ca="1">INDIRECT("tbl_REF_Risques_TDSI[@[Risk Scenario Description "&amp;DocumentLanguage&amp;"]]")</f>
        <v>#REF!</v>
      </c>
      <c r="E64" s="41"/>
      <c r="F64" s="39"/>
      <c r="G64" s="39"/>
      <c r="H64" s="39"/>
      <c r="I64" s="1" t="str" cm="1">
        <f t="array" aca="1" ref="I64"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64" s="39" t="e" cm="1">
        <f t="array" aca="1" ref="J64" ca="1">INDIRECT("tbl_REF_Risques_TDSI[@[Taxo Cause "&amp;DocumentLanguage&amp;"]]")</f>
        <v>#REF!</v>
      </c>
      <c r="K64" s="39" t="e" cm="1">
        <f t="array" aca="1" ref="K64" ca="1">INDIRECT("tbl_REF_Risques_TDSI[@[Taxo Risk "&amp;DocumentLanguage&amp;"]]")</f>
        <v>#REF!</v>
      </c>
      <c r="L64" s="39" t="e" cm="1">
        <f t="array" aca="1" ref="L64" ca="1">INDIRECT("tbl_REF_Risques_TDSI[@[Taxo Impact "&amp;DocumentLanguage&amp;"]]")</f>
        <v>#REF!</v>
      </c>
      <c r="M64" s="49"/>
      <c r="N64" s="63" t="e" cm="1">
        <f t="array" aca="1" ref="N64"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64" s="38" t="e" cm="1">
        <f t="array" aca="1" ref="O64" ca="1">_xlfn.LET(
 _xlpm.raw,_xlfn.TEXTSPLIT(M64,CHAR(10)),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64" s="38"/>
      <c r="Q64" s="10" t="e">
        <f ca="1">INDEX(INDIRECT("RiskResid_"&amp;DocumentLanguage),MATCH(tbl_Risks[[#This Row],[Niveau Risque Inhérent
Inherent Risk Level]], INDIRECT("niv_risk_"&amp;DocumentLanguage), 0),MATCH(tbl_Risks[[#This Row],[Efficacité globale 
Global efficiency]], INDIRECT("effglob_"&amp;DocumentLanguage), 0))</f>
        <v>#N/A</v>
      </c>
      <c r="R64" s="38"/>
      <c r="S64" s="10" t="e">
        <f ca="1">INDEX(INDIRECT("RiskResid_"&amp;DocumentLanguage),MATCH(tbl_Risks[[#This Row],[Niveau Risque Inhérent
Inherent Risk Level]], INDIRECT("niv_risk_"&amp;DocumentLanguage), 0),MATCH(tbl_Risks[[#This Row],[Efficacité finale
Final efficiency]], INDIRECT("effglob_"&amp;DocumentLanguage), 0))</f>
        <v>#N/A</v>
      </c>
    </row>
    <row r="65" spans="1:19">
      <c r="A65" s="38"/>
      <c r="B65" s="38"/>
      <c r="C65" s="39" t="e" cm="1">
        <f t="array" aca="1" ref="C65" ca="1">INDIRECT("tbl_REF_Risques_TDSI[@[Risk Scenario Title "&amp;DocumentLanguage&amp;"]]")</f>
        <v>#REF!</v>
      </c>
      <c r="D65" s="39" t="e" cm="1">
        <f t="array" aca="1" ref="D65" ca="1">INDIRECT("tbl_REF_Risques_TDSI[@[Risk Scenario Description "&amp;DocumentLanguage&amp;"]]")</f>
        <v>#REF!</v>
      </c>
      <c r="E65" s="41"/>
      <c r="F65" s="39"/>
      <c r="G65" s="39"/>
      <c r="H65" s="39"/>
      <c r="I65" s="1" t="str" cm="1">
        <f t="array" aca="1" ref="I65"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65" s="39" t="e" cm="1">
        <f t="array" aca="1" ref="J65" ca="1">INDIRECT("tbl_REF_Risques_TDSI[@[Taxo Cause "&amp;DocumentLanguage&amp;"]]")</f>
        <v>#REF!</v>
      </c>
      <c r="K65" s="39" t="e" cm="1">
        <f t="array" aca="1" ref="K65" ca="1">INDIRECT("tbl_REF_Risques_TDSI[@[Taxo Risk "&amp;DocumentLanguage&amp;"]]")</f>
        <v>#REF!</v>
      </c>
      <c r="L65" s="39" t="e" cm="1">
        <f t="array" aca="1" ref="L65" ca="1">INDIRECT("tbl_REF_Risques_TDSI[@[Taxo Impact "&amp;DocumentLanguage&amp;"]]")</f>
        <v>#REF!</v>
      </c>
      <c r="M65" s="49"/>
      <c r="N65" s="63" t="e" cm="1">
        <f t="array" aca="1" ref="N65"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65" s="38" t="e" cm="1">
        <f t="array" aca="1" ref="O65" ca="1">_xlfn.LET(
 _xlpm.raw,_xlfn.TEXTSPLIT(M65,CHAR(10)),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65" s="38"/>
      <c r="Q65" s="10" t="e">
        <f ca="1">INDEX(INDIRECT("RiskResid_"&amp;DocumentLanguage),MATCH(tbl_Risks[[#This Row],[Niveau Risque Inhérent
Inherent Risk Level]], INDIRECT("niv_risk_"&amp;DocumentLanguage), 0),MATCH(tbl_Risks[[#This Row],[Efficacité globale 
Global efficiency]], INDIRECT("effglob_"&amp;DocumentLanguage), 0))</f>
        <v>#N/A</v>
      </c>
      <c r="R65" s="38"/>
      <c r="S65" s="10" t="e">
        <f ca="1">INDEX(INDIRECT("RiskResid_"&amp;DocumentLanguage),MATCH(tbl_Risks[[#This Row],[Niveau Risque Inhérent
Inherent Risk Level]], INDIRECT("niv_risk_"&amp;DocumentLanguage), 0),MATCH(tbl_Risks[[#This Row],[Efficacité finale
Final efficiency]], INDIRECT("effglob_"&amp;DocumentLanguage), 0))</f>
        <v>#N/A</v>
      </c>
    </row>
    <row r="66" spans="1:19">
      <c r="A66" s="38"/>
      <c r="B66" s="38"/>
      <c r="C66" s="39" t="e" cm="1">
        <f t="array" aca="1" ref="C66" ca="1">INDIRECT("tbl_REF_Risques_TDSI[@[Risk Scenario Title "&amp;DocumentLanguage&amp;"]]")</f>
        <v>#REF!</v>
      </c>
      <c r="D66" s="39" t="e" cm="1">
        <f t="array" aca="1" ref="D66" ca="1">INDIRECT("tbl_REF_Risques_TDSI[@[Risk Scenario Description "&amp;DocumentLanguage&amp;"]]")</f>
        <v>#REF!</v>
      </c>
      <c r="E66" s="41"/>
      <c r="F66" s="39"/>
      <c r="G66" s="39"/>
      <c r="H66" s="39"/>
      <c r="I66" s="1" t="str" cm="1">
        <f t="array" aca="1" ref="I66"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66" s="39" t="e" cm="1">
        <f t="array" aca="1" ref="J66" ca="1">INDIRECT("tbl_REF_Risques_TDSI[@[Taxo Cause "&amp;DocumentLanguage&amp;"]]")</f>
        <v>#REF!</v>
      </c>
      <c r="K66" s="39" t="e" cm="1">
        <f t="array" aca="1" ref="K66" ca="1">INDIRECT("tbl_REF_Risques_TDSI[@[Taxo Risk "&amp;DocumentLanguage&amp;"]]")</f>
        <v>#REF!</v>
      </c>
      <c r="L66" s="39" t="e" cm="1">
        <f t="array" aca="1" ref="L66" ca="1">INDIRECT("tbl_REF_Risques_TDSI[@[Taxo Impact "&amp;DocumentLanguage&amp;"]]")</f>
        <v>#REF!</v>
      </c>
      <c r="M66" s="49"/>
      <c r="N66" s="63" t="e" cm="1">
        <f t="array" aca="1" ref="N66"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66" s="38" t="e" cm="1">
        <f t="array" aca="1" ref="O66" ca="1">_xlfn.LET(
 _xlpm.raw,_xlfn.TEXTSPLIT(M66,CHAR(10)),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66" s="38"/>
      <c r="Q66" s="10" t="e">
        <f ca="1">INDEX(INDIRECT("RiskResid_"&amp;DocumentLanguage),MATCH(tbl_Risks[[#This Row],[Niveau Risque Inhérent
Inherent Risk Level]], INDIRECT("niv_risk_"&amp;DocumentLanguage), 0),MATCH(tbl_Risks[[#This Row],[Efficacité globale 
Global efficiency]], INDIRECT("effglob_"&amp;DocumentLanguage), 0))</f>
        <v>#N/A</v>
      </c>
      <c r="R66" s="38"/>
      <c r="S66" s="10" t="e">
        <f ca="1">INDEX(INDIRECT("RiskResid_"&amp;DocumentLanguage),MATCH(tbl_Risks[[#This Row],[Niveau Risque Inhérent
Inherent Risk Level]], INDIRECT("niv_risk_"&amp;DocumentLanguage), 0),MATCH(tbl_Risks[[#This Row],[Efficacité finale
Final efficiency]], INDIRECT("effglob_"&amp;DocumentLanguage), 0))</f>
        <v>#N/A</v>
      </c>
    </row>
    <row r="67" spans="1:19">
      <c r="A67" s="38"/>
      <c r="B67" s="38"/>
      <c r="C67" s="39" t="e" cm="1">
        <f t="array" aca="1" ref="C67" ca="1">INDIRECT("tbl_REF_Risques_TDSI[@[Risk Scenario Title "&amp;DocumentLanguage&amp;"]]")</f>
        <v>#REF!</v>
      </c>
      <c r="D67" s="39" t="e" cm="1">
        <f t="array" aca="1" ref="D67" ca="1">INDIRECT("tbl_REF_Risques_TDSI[@[Risk Scenario Description "&amp;DocumentLanguage&amp;"]]")</f>
        <v>#REF!</v>
      </c>
      <c r="E67" s="41"/>
      <c r="F67" s="39"/>
      <c r="G67" s="39"/>
      <c r="H67" s="39"/>
      <c r="I67" s="1" t="str" cm="1">
        <f t="array" aca="1" ref="I67"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67" s="39" t="e" cm="1">
        <f t="array" aca="1" ref="J67" ca="1">INDIRECT("tbl_REF_Risques_TDSI[@[Taxo Cause "&amp;DocumentLanguage&amp;"]]")</f>
        <v>#REF!</v>
      </c>
      <c r="K67" s="39" t="e" cm="1">
        <f t="array" aca="1" ref="K67" ca="1">INDIRECT("tbl_REF_Risques_TDSI[@[Taxo Risk "&amp;DocumentLanguage&amp;"]]")</f>
        <v>#REF!</v>
      </c>
      <c r="L67" s="39" t="e" cm="1">
        <f t="array" aca="1" ref="L67" ca="1">INDIRECT("tbl_REF_Risques_TDSI[@[Taxo Impact "&amp;DocumentLanguage&amp;"]]")</f>
        <v>#REF!</v>
      </c>
      <c r="M67" s="49"/>
      <c r="N67" s="63" t="e" cm="1">
        <f t="array" aca="1" ref="N67"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67" s="38" t="e" cm="1">
        <f t="array" aca="1" ref="O67" ca="1">_xlfn.LET(
 _xlpm.raw,_xlfn.TEXTSPLIT(M67,CHAR(10)),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67" s="38"/>
      <c r="Q67" s="10" t="e">
        <f ca="1">INDEX(INDIRECT("RiskResid_"&amp;DocumentLanguage),MATCH(tbl_Risks[[#This Row],[Niveau Risque Inhérent
Inherent Risk Level]], INDIRECT("niv_risk_"&amp;DocumentLanguage), 0),MATCH(tbl_Risks[[#This Row],[Efficacité globale 
Global efficiency]], INDIRECT("effglob_"&amp;DocumentLanguage), 0))</f>
        <v>#N/A</v>
      </c>
      <c r="R67" s="38"/>
      <c r="S67" s="10" t="e">
        <f ca="1">INDEX(INDIRECT("RiskResid_"&amp;DocumentLanguage),MATCH(tbl_Risks[[#This Row],[Niveau Risque Inhérent
Inherent Risk Level]], INDIRECT("niv_risk_"&amp;DocumentLanguage), 0),MATCH(tbl_Risks[[#This Row],[Efficacité finale
Final efficiency]], INDIRECT("effglob_"&amp;DocumentLanguage), 0))</f>
        <v>#N/A</v>
      </c>
    </row>
    <row r="68" spans="1:19">
      <c r="A68" s="38"/>
      <c r="B68" s="38"/>
      <c r="C68" s="39" t="e" cm="1">
        <f t="array" aca="1" ref="C68" ca="1">INDIRECT("tbl_REF_Risques_TDSI[@[Risk Scenario Title "&amp;DocumentLanguage&amp;"]]")</f>
        <v>#REF!</v>
      </c>
      <c r="D68" s="39" t="e" cm="1">
        <f t="array" aca="1" ref="D68" ca="1">INDIRECT("tbl_REF_Risques_TDSI[@[Risk Scenario Description "&amp;DocumentLanguage&amp;"]]")</f>
        <v>#REF!</v>
      </c>
      <c r="E68" s="41"/>
      <c r="F68" s="39"/>
      <c r="G68" s="39"/>
      <c r="H68" s="39"/>
      <c r="I68" s="1" t="str" cm="1">
        <f t="array" aca="1" ref="I68"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68" s="39" t="e" cm="1">
        <f t="array" aca="1" ref="J68" ca="1">INDIRECT("tbl_REF_Risques_TDSI[@[Taxo Cause "&amp;DocumentLanguage&amp;"]]")</f>
        <v>#REF!</v>
      </c>
      <c r="K68" s="39" t="e" cm="1">
        <f t="array" aca="1" ref="K68" ca="1">INDIRECT("tbl_REF_Risques_TDSI[@[Taxo Risk "&amp;DocumentLanguage&amp;"]]")</f>
        <v>#REF!</v>
      </c>
      <c r="L68" s="39" t="e" cm="1">
        <f t="array" aca="1" ref="L68" ca="1">INDIRECT("tbl_REF_Risques_TDSI[@[Taxo Impact "&amp;DocumentLanguage&amp;"]]")</f>
        <v>#REF!</v>
      </c>
      <c r="M68" s="49"/>
      <c r="N68" s="63" t="e" cm="1">
        <f t="array" aca="1" ref="N68"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68" s="38" t="e" cm="1">
        <f t="array" aca="1" ref="O68" ca="1">_xlfn.LET(
 _xlpm.raw,_xlfn.TEXTSPLIT(M68,CHAR(10)),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68" s="38"/>
      <c r="Q68" s="10" t="e">
        <f ca="1">INDEX(INDIRECT("RiskResid_"&amp;DocumentLanguage),MATCH(tbl_Risks[[#This Row],[Niveau Risque Inhérent
Inherent Risk Level]], INDIRECT("niv_risk_"&amp;DocumentLanguage), 0),MATCH(tbl_Risks[[#This Row],[Efficacité globale 
Global efficiency]], INDIRECT("effglob_"&amp;DocumentLanguage), 0))</f>
        <v>#N/A</v>
      </c>
      <c r="R68" s="38"/>
      <c r="S68" s="10" t="e">
        <f ca="1">INDEX(INDIRECT("RiskResid_"&amp;DocumentLanguage),MATCH(tbl_Risks[[#This Row],[Niveau Risque Inhérent
Inherent Risk Level]], INDIRECT("niv_risk_"&amp;DocumentLanguage), 0),MATCH(tbl_Risks[[#This Row],[Efficacité finale
Final efficiency]], INDIRECT("effglob_"&amp;DocumentLanguage), 0))</f>
        <v>#N/A</v>
      </c>
    </row>
    <row r="69" spans="1:19">
      <c r="A69" s="38"/>
      <c r="B69" s="38"/>
      <c r="C69" s="39" t="e" cm="1">
        <f t="array" aca="1" ref="C69" ca="1">INDIRECT("tbl_REF_Risques_TDSI[@[Risk Scenario Title "&amp;DocumentLanguage&amp;"]]")</f>
        <v>#REF!</v>
      </c>
      <c r="D69" s="39" t="e" cm="1">
        <f t="array" aca="1" ref="D69" ca="1">INDIRECT("tbl_REF_Risques_TDSI[@[Risk Scenario Description "&amp;DocumentLanguage&amp;"]]")</f>
        <v>#REF!</v>
      </c>
      <c r="E69" s="41"/>
      <c r="F69" s="39"/>
      <c r="G69" s="39"/>
      <c r="H69" s="39"/>
      <c r="I69" s="1" t="str" cm="1">
        <f t="array" aca="1" ref="I69"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69" s="39" t="e" cm="1">
        <f t="array" aca="1" ref="J69" ca="1">INDIRECT("tbl_REF_Risques_TDSI[@[Taxo Cause "&amp;DocumentLanguage&amp;"]]")</f>
        <v>#REF!</v>
      </c>
      <c r="K69" s="39" t="e" cm="1">
        <f t="array" aca="1" ref="K69" ca="1">INDIRECT("tbl_REF_Risques_TDSI[@[Taxo Risk "&amp;DocumentLanguage&amp;"]]")</f>
        <v>#REF!</v>
      </c>
      <c r="L69" s="39" t="e" cm="1">
        <f t="array" aca="1" ref="L69" ca="1">INDIRECT("tbl_REF_Risques_TDSI[@[Taxo Impact "&amp;DocumentLanguage&amp;"]]")</f>
        <v>#REF!</v>
      </c>
      <c r="M69" s="49"/>
      <c r="N69" s="63" t="e" cm="1">
        <f t="array" aca="1" ref="N69"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69" s="38" t="e" cm="1">
        <f t="array" aca="1" ref="O69" ca="1">_xlfn.LET(
 _xlpm.raw,_xlfn.TEXTSPLIT(M69,CHAR(10)),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69" s="38"/>
      <c r="Q69" s="10" t="e">
        <f ca="1">INDEX(INDIRECT("RiskResid_"&amp;DocumentLanguage),MATCH(tbl_Risks[[#This Row],[Niveau Risque Inhérent
Inherent Risk Level]], INDIRECT("niv_risk_"&amp;DocumentLanguage), 0),MATCH(tbl_Risks[[#This Row],[Efficacité globale 
Global efficiency]], INDIRECT("effglob_"&amp;DocumentLanguage), 0))</f>
        <v>#N/A</v>
      </c>
      <c r="R69" s="38"/>
      <c r="S69" s="10" t="e">
        <f ca="1">INDEX(INDIRECT("RiskResid_"&amp;DocumentLanguage),MATCH(tbl_Risks[[#This Row],[Niveau Risque Inhérent
Inherent Risk Level]], INDIRECT("niv_risk_"&amp;DocumentLanguage), 0),MATCH(tbl_Risks[[#This Row],[Efficacité finale
Final efficiency]], INDIRECT("effglob_"&amp;DocumentLanguage), 0))</f>
        <v>#N/A</v>
      </c>
    </row>
    <row r="70" spans="1:19">
      <c r="A70" s="38"/>
      <c r="B70" s="38"/>
      <c r="C70" s="39" t="e" cm="1">
        <f t="array" aca="1" ref="C70" ca="1">INDIRECT("tbl_REF_Risques_TDSI[@[Risk Scenario Title "&amp;DocumentLanguage&amp;"]]")</f>
        <v>#REF!</v>
      </c>
      <c r="D70" s="39" t="e" cm="1">
        <f t="array" aca="1" ref="D70" ca="1">INDIRECT("tbl_REF_Risques_TDSI[@[Risk Scenario Description "&amp;DocumentLanguage&amp;"]]")</f>
        <v>#REF!</v>
      </c>
      <c r="E70" s="41"/>
      <c r="F70" s="39"/>
      <c r="G70" s="39"/>
      <c r="H70" s="39"/>
      <c r="I70" s="1" t="str" cm="1">
        <f t="array" aca="1" ref="I70"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70" s="39" t="e" cm="1">
        <f t="array" aca="1" ref="J70" ca="1">INDIRECT("tbl_REF_Risques_TDSI[@[Taxo Cause "&amp;DocumentLanguage&amp;"]]")</f>
        <v>#REF!</v>
      </c>
      <c r="K70" s="39" t="e" cm="1">
        <f t="array" aca="1" ref="K70" ca="1">INDIRECT("tbl_REF_Risques_TDSI[@[Taxo Risk "&amp;DocumentLanguage&amp;"]]")</f>
        <v>#REF!</v>
      </c>
      <c r="L70" s="39" t="e" cm="1">
        <f t="array" aca="1" ref="L70" ca="1">INDIRECT("tbl_REF_Risques_TDSI[@[Taxo Impact "&amp;DocumentLanguage&amp;"]]")</f>
        <v>#REF!</v>
      </c>
      <c r="M70" s="49"/>
      <c r="N70" s="63" t="e" cm="1">
        <f t="array" aca="1" ref="N70"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70" s="38" t="e" cm="1">
        <f t="array" aca="1" ref="O70" ca="1">_xlfn.LET(
 _xlpm.raw,_xlfn.TEXTSPLIT(M70,CHAR(10)),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70" s="38"/>
      <c r="Q70" s="10" t="e">
        <f ca="1">INDEX(INDIRECT("RiskResid_"&amp;DocumentLanguage),MATCH(tbl_Risks[[#This Row],[Niveau Risque Inhérent
Inherent Risk Level]], INDIRECT("niv_risk_"&amp;DocumentLanguage), 0),MATCH(tbl_Risks[[#This Row],[Efficacité globale 
Global efficiency]], INDIRECT("effglob_"&amp;DocumentLanguage), 0))</f>
        <v>#N/A</v>
      </c>
      <c r="R70" s="38"/>
      <c r="S70" s="10" t="e">
        <f ca="1">INDEX(INDIRECT("RiskResid_"&amp;DocumentLanguage),MATCH(tbl_Risks[[#This Row],[Niveau Risque Inhérent
Inherent Risk Level]], INDIRECT("niv_risk_"&amp;DocumentLanguage), 0),MATCH(tbl_Risks[[#This Row],[Efficacité finale
Final efficiency]], INDIRECT("effglob_"&amp;DocumentLanguage), 0))</f>
        <v>#N/A</v>
      </c>
    </row>
    <row r="71" spans="1:19">
      <c r="A71" s="38"/>
      <c r="B71" s="38"/>
      <c r="C71" s="39" t="e" cm="1">
        <f t="array" aca="1" ref="C71" ca="1">INDIRECT("tbl_REF_Risques_TDSI[@[Risk Scenario Title "&amp;DocumentLanguage&amp;"]]")</f>
        <v>#REF!</v>
      </c>
      <c r="D71" s="39" t="e" cm="1">
        <f t="array" aca="1" ref="D71" ca="1">INDIRECT("tbl_REF_Risques_TDSI[@[Risk Scenario Description "&amp;DocumentLanguage&amp;"]]")</f>
        <v>#REF!</v>
      </c>
      <c r="E71" s="41"/>
      <c r="F71" s="39"/>
      <c r="G71" s="39"/>
      <c r="H71" s="39"/>
      <c r="I71" s="1" t="str" cm="1">
        <f t="array" aca="1" ref="I71"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71" s="39" t="e" cm="1">
        <f t="array" aca="1" ref="J71" ca="1">INDIRECT("tbl_REF_Risques_TDSI[@[Taxo Cause "&amp;DocumentLanguage&amp;"]]")</f>
        <v>#REF!</v>
      </c>
      <c r="K71" s="39" t="e" cm="1">
        <f t="array" aca="1" ref="K71" ca="1">INDIRECT("tbl_REF_Risques_TDSI[@[Taxo Risk "&amp;DocumentLanguage&amp;"]]")</f>
        <v>#REF!</v>
      </c>
      <c r="L71" s="39" t="e" cm="1">
        <f t="array" aca="1" ref="L71" ca="1">INDIRECT("tbl_REF_Risques_TDSI[@[Taxo Impact "&amp;DocumentLanguage&amp;"]]")</f>
        <v>#REF!</v>
      </c>
      <c r="M71" s="49"/>
      <c r="N71" s="63" t="e" cm="1">
        <f t="array" aca="1" ref="N71"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71" s="38" t="e" cm="1">
        <f t="array" aca="1" ref="O71" ca="1">_xlfn.LET(
 _xlpm.raw,_xlfn.TEXTSPLIT(M71,CHAR(10)),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71" s="38"/>
      <c r="Q71" s="10" t="e">
        <f ca="1">INDEX(INDIRECT("RiskResid_"&amp;DocumentLanguage),MATCH(tbl_Risks[[#This Row],[Niveau Risque Inhérent
Inherent Risk Level]], INDIRECT("niv_risk_"&amp;DocumentLanguage), 0),MATCH(tbl_Risks[[#This Row],[Efficacité globale 
Global efficiency]], INDIRECT("effglob_"&amp;DocumentLanguage), 0))</f>
        <v>#N/A</v>
      </c>
      <c r="R71" s="38"/>
      <c r="S71" s="10" t="e">
        <f ca="1">INDEX(INDIRECT("RiskResid_"&amp;DocumentLanguage),MATCH(tbl_Risks[[#This Row],[Niveau Risque Inhérent
Inherent Risk Level]], INDIRECT("niv_risk_"&amp;DocumentLanguage), 0),MATCH(tbl_Risks[[#This Row],[Efficacité finale
Final efficiency]], INDIRECT("effglob_"&amp;DocumentLanguage), 0))</f>
        <v>#N/A</v>
      </c>
    </row>
    <row r="72" spans="1:19">
      <c r="A72" s="38"/>
      <c r="B72" s="38"/>
      <c r="C72" s="39" t="e" cm="1">
        <f t="array" aca="1" ref="C72" ca="1">INDIRECT("tbl_REF_Risques_TDSI[@[Risk Scenario Title "&amp;DocumentLanguage&amp;"]]")</f>
        <v>#REF!</v>
      </c>
      <c r="D72" s="39" t="e" cm="1">
        <f t="array" aca="1" ref="D72" ca="1">INDIRECT("tbl_REF_Risques_TDSI[@[Risk Scenario Description "&amp;DocumentLanguage&amp;"]]")</f>
        <v>#REF!</v>
      </c>
      <c r="E72" s="41"/>
      <c r="F72" s="39"/>
      <c r="G72" s="39"/>
      <c r="H72" s="39"/>
      <c r="I72" s="1" t="str" cm="1">
        <f t="array" aca="1" ref="I72"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72" s="39" t="e" cm="1">
        <f t="array" aca="1" ref="J72" ca="1">INDIRECT("tbl_REF_Risques_TDSI[@[Taxo Cause "&amp;DocumentLanguage&amp;"]]")</f>
        <v>#REF!</v>
      </c>
      <c r="K72" s="39" t="e" cm="1">
        <f t="array" aca="1" ref="K72" ca="1">INDIRECT("tbl_REF_Risques_TDSI[@[Taxo Risk "&amp;DocumentLanguage&amp;"]]")</f>
        <v>#REF!</v>
      </c>
      <c r="L72" s="39" t="e" cm="1">
        <f t="array" aca="1" ref="L72" ca="1">INDIRECT("tbl_REF_Risques_TDSI[@[Taxo Impact "&amp;DocumentLanguage&amp;"]]")</f>
        <v>#REF!</v>
      </c>
      <c r="M72" s="49"/>
      <c r="N72" s="63" t="e" cm="1">
        <f t="array" aca="1" ref="N72"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72" s="38" t="e" cm="1">
        <f t="array" aca="1" ref="O72" ca="1">_xlfn.LET(
 _xlpm.raw,_xlfn.TEXTSPLIT(M72,CHAR(10)),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72" s="38"/>
      <c r="Q72" s="10" t="e">
        <f ca="1">INDEX(INDIRECT("RiskResid_"&amp;DocumentLanguage),MATCH(tbl_Risks[[#This Row],[Niveau Risque Inhérent
Inherent Risk Level]], INDIRECT("niv_risk_"&amp;DocumentLanguage), 0),MATCH(tbl_Risks[[#This Row],[Efficacité globale 
Global efficiency]], INDIRECT("effglob_"&amp;DocumentLanguage), 0))</f>
        <v>#N/A</v>
      </c>
      <c r="R72" s="38"/>
      <c r="S72" s="10" t="e">
        <f ca="1">INDEX(INDIRECT("RiskResid_"&amp;DocumentLanguage),MATCH(tbl_Risks[[#This Row],[Niveau Risque Inhérent
Inherent Risk Level]], INDIRECT("niv_risk_"&amp;DocumentLanguage), 0),MATCH(tbl_Risks[[#This Row],[Efficacité finale
Final efficiency]], INDIRECT("effglob_"&amp;DocumentLanguage), 0))</f>
        <v>#N/A</v>
      </c>
    </row>
    <row r="73" spans="1:19">
      <c r="A73" s="38"/>
      <c r="B73" s="38"/>
      <c r="C73" s="39" t="e" cm="1">
        <f t="array" aca="1" ref="C73" ca="1">INDIRECT("tbl_REF_Risques_TDSI[@[Risk Scenario Title "&amp;DocumentLanguage&amp;"]]")</f>
        <v>#REF!</v>
      </c>
      <c r="D73" s="39" t="e" cm="1">
        <f t="array" aca="1" ref="D73" ca="1">INDIRECT("tbl_REF_Risques_TDSI[@[Risk Scenario Description "&amp;DocumentLanguage&amp;"]]")</f>
        <v>#REF!</v>
      </c>
      <c r="E73" s="41"/>
      <c r="F73" s="39"/>
      <c r="G73" s="39"/>
      <c r="H73" s="39"/>
      <c r="I73" s="1" t="str" cm="1">
        <f t="array" aca="1" ref="I73"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73" s="39" t="e" cm="1">
        <f t="array" aca="1" ref="J73" ca="1">INDIRECT("tbl_REF_Risques_TDSI[@[Taxo Cause "&amp;DocumentLanguage&amp;"]]")</f>
        <v>#REF!</v>
      </c>
      <c r="K73" s="39" t="e" cm="1">
        <f t="array" aca="1" ref="K73" ca="1">INDIRECT("tbl_REF_Risques_TDSI[@[Taxo Risk "&amp;DocumentLanguage&amp;"]]")</f>
        <v>#REF!</v>
      </c>
      <c r="L73" s="39" t="e" cm="1">
        <f t="array" aca="1" ref="L73" ca="1">INDIRECT("tbl_REF_Risques_TDSI[@[Taxo Impact "&amp;DocumentLanguage&amp;"]]")</f>
        <v>#REF!</v>
      </c>
      <c r="M73" s="49"/>
      <c r="N73" s="63" t="e" cm="1">
        <f t="array" aca="1" ref="N73"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73" s="38" t="e" cm="1">
        <f t="array" aca="1" ref="O73" ca="1">_xlfn.LET(
 _xlpm.raw,_xlfn.TEXTSPLIT(M73,CHAR(10)),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73" s="38"/>
      <c r="Q73" s="10" t="e">
        <f ca="1">INDEX(INDIRECT("RiskResid_"&amp;DocumentLanguage),MATCH(tbl_Risks[[#This Row],[Niveau Risque Inhérent
Inherent Risk Level]], INDIRECT("niv_risk_"&amp;DocumentLanguage), 0),MATCH(tbl_Risks[[#This Row],[Efficacité globale 
Global efficiency]], INDIRECT("effglob_"&amp;DocumentLanguage), 0))</f>
        <v>#N/A</v>
      </c>
      <c r="R73" s="38"/>
      <c r="S73" s="10" t="e">
        <f ca="1">INDEX(INDIRECT("RiskResid_"&amp;DocumentLanguage),MATCH(tbl_Risks[[#This Row],[Niveau Risque Inhérent
Inherent Risk Level]], INDIRECT("niv_risk_"&amp;DocumentLanguage), 0),MATCH(tbl_Risks[[#This Row],[Efficacité finale
Final efficiency]], INDIRECT("effglob_"&amp;DocumentLanguage), 0))</f>
        <v>#N/A</v>
      </c>
    </row>
    <row r="74" spans="1:19">
      <c r="A74" s="38"/>
      <c r="B74" s="38"/>
      <c r="C74" s="39" t="e" cm="1">
        <f t="array" aca="1" ref="C74" ca="1">INDIRECT("tbl_REF_Risques_TDSI[@[Risk Scenario Title "&amp;DocumentLanguage&amp;"]]")</f>
        <v>#REF!</v>
      </c>
      <c r="D74" s="39" t="e" cm="1">
        <f t="array" aca="1" ref="D74" ca="1">INDIRECT("tbl_REF_Risques_TDSI[@[Risk Scenario Description "&amp;DocumentLanguage&amp;"]]")</f>
        <v>#REF!</v>
      </c>
      <c r="E74" s="41"/>
      <c r="F74" s="39"/>
      <c r="G74" s="39"/>
      <c r="H74" s="39"/>
      <c r="I74" s="1" t="str" cm="1">
        <f t="array" aca="1" ref="I74"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74" s="39" t="e" cm="1">
        <f t="array" aca="1" ref="J74" ca="1">INDIRECT("tbl_REF_Risques_TDSI[@[Taxo Cause "&amp;DocumentLanguage&amp;"]]")</f>
        <v>#REF!</v>
      </c>
      <c r="K74" s="39" t="e" cm="1">
        <f t="array" aca="1" ref="K74" ca="1">INDIRECT("tbl_REF_Risques_TDSI[@[Taxo Risk "&amp;DocumentLanguage&amp;"]]")</f>
        <v>#REF!</v>
      </c>
      <c r="L74" s="39" t="e" cm="1">
        <f t="array" aca="1" ref="L74" ca="1">INDIRECT("tbl_REF_Risques_TDSI[@[Taxo Impact "&amp;DocumentLanguage&amp;"]]")</f>
        <v>#REF!</v>
      </c>
      <c r="M74" s="49"/>
      <c r="N74" s="63" t="e" cm="1">
        <f t="array" aca="1" ref="N74"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74" s="38" t="e" cm="1">
        <f t="array" aca="1" ref="O74" ca="1">_xlfn.LET(
 _xlpm.raw,_xlfn.TEXTSPLIT(M74,CHAR(10)),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74" s="38"/>
      <c r="Q74" s="10" t="e">
        <f ca="1">INDEX(INDIRECT("RiskResid_"&amp;DocumentLanguage),MATCH(tbl_Risks[[#This Row],[Niveau Risque Inhérent
Inherent Risk Level]], INDIRECT("niv_risk_"&amp;DocumentLanguage), 0),MATCH(tbl_Risks[[#This Row],[Efficacité globale 
Global efficiency]], INDIRECT("effglob_"&amp;DocumentLanguage), 0))</f>
        <v>#N/A</v>
      </c>
      <c r="R74" s="38"/>
      <c r="S74" s="10" t="e">
        <f ca="1">INDEX(INDIRECT("RiskResid_"&amp;DocumentLanguage),MATCH(tbl_Risks[[#This Row],[Niveau Risque Inhérent
Inherent Risk Level]], INDIRECT("niv_risk_"&amp;DocumentLanguage), 0),MATCH(tbl_Risks[[#This Row],[Efficacité finale
Final efficiency]], INDIRECT("effglob_"&amp;DocumentLanguage), 0))</f>
        <v>#N/A</v>
      </c>
    </row>
    <row r="75" spans="1:19">
      <c r="A75" s="38"/>
      <c r="B75" s="38"/>
      <c r="C75" s="39" t="e" cm="1">
        <f t="array" aca="1" ref="C75" ca="1">INDIRECT("tbl_REF_Risques_TDSI[@[Risk Scenario Title "&amp;DocumentLanguage&amp;"]]")</f>
        <v>#REF!</v>
      </c>
      <c r="D75" s="39" t="e" cm="1">
        <f t="array" aca="1" ref="D75" ca="1">INDIRECT("tbl_REF_Risques_TDSI[@[Risk Scenario Description "&amp;DocumentLanguage&amp;"]]")</f>
        <v>#REF!</v>
      </c>
      <c r="E75" s="41"/>
      <c r="F75" s="39"/>
      <c r="G75" s="39"/>
      <c r="H75" s="39"/>
      <c r="I75" s="1" t="str" cm="1">
        <f t="array" aca="1" ref="I75"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75" s="39" t="e" cm="1">
        <f t="array" aca="1" ref="J75" ca="1">INDIRECT("tbl_REF_Risques_TDSI[@[Taxo Cause "&amp;DocumentLanguage&amp;"]]")</f>
        <v>#REF!</v>
      </c>
      <c r="K75" s="39" t="e" cm="1">
        <f t="array" aca="1" ref="K75" ca="1">INDIRECT("tbl_REF_Risques_TDSI[@[Taxo Risk "&amp;DocumentLanguage&amp;"]]")</f>
        <v>#REF!</v>
      </c>
      <c r="L75" s="39" t="e" cm="1">
        <f t="array" aca="1" ref="L75" ca="1">INDIRECT("tbl_REF_Risques_TDSI[@[Taxo Impact "&amp;DocumentLanguage&amp;"]]")</f>
        <v>#REF!</v>
      </c>
      <c r="M75" s="49"/>
      <c r="N75" s="63" t="e" cm="1">
        <f t="array" aca="1" ref="N75"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75" s="38" t="e" cm="1">
        <f t="array" aca="1" ref="O75" ca="1">_xlfn.LET(
 _xlpm.raw,_xlfn.TEXTSPLIT(M75,CHAR(10)),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75" s="38"/>
      <c r="Q75" s="10" t="e">
        <f ca="1">INDEX(INDIRECT("RiskResid_"&amp;DocumentLanguage),MATCH(tbl_Risks[[#This Row],[Niveau Risque Inhérent
Inherent Risk Level]], INDIRECT("niv_risk_"&amp;DocumentLanguage), 0),MATCH(tbl_Risks[[#This Row],[Efficacité globale 
Global efficiency]], INDIRECT("effglob_"&amp;DocumentLanguage), 0))</f>
        <v>#N/A</v>
      </c>
      <c r="R75" s="38"/>
      <c r="S75" s="10" t="e">
        <f ca="1">INDEX(INDIRECT("RiskResid_"&amp;DocumentLanguage),MATCH(tbl_Risks[[#This Row],[Niveau Risque Inhérent
Inherent Risk Level]], INDIRECT("niv_risk_"&amp;DocumentLanguage), 0),MATCH(tbl_Risks[[#This Row],[Efficacité finale
Final efficiency]], INDIRECT("effglob_"&amp;DocumentLanguage), 0))</f>
        <v>#N/A</v>
      </c>
    </row>
    <row r="76" spans="1:19">
      <c r="A76" s="38"/>
      <c r="B76" s="38"/>
      <c r="C76" s="39" t="e" cm="1">
        <f t="array" aca="1" ref="C76" ca="1">INDIRECT("tbl_REF_Risques_TDSI[@[Risk Scenario Title "&amp;DocumentLanguage&amp;"]]")</f>
        <v>#REF!</v>
      </c>
      <c r="D76" s="39" t="e" cm="1">
        <f t="array" aca="1" ref="D76" ca="1">INDIRECT("tbl_REF_Risques_TDSI[@[Risk Scenario Description "&amp;DocumentLanguage&amp;"]]")</f>
        <v>#REF!</v>
      </c>
      <c r="E76" s="41"/>
      <c r="F76" s="39"/>
      <c r="G76" s="39"/>
      <c r="H76" s="39"/>
      <c r="I76" s="1" t="str" cm="1">
        <f t="array" aca="1" ref="I76"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76" s="39" t="e" cm="1">
        <f t="array" aca="1" ref="J76" ca="1">INDIRECT("tbl_REF_Risques_TDSI[@[Taxo Cause "&amp;DocumentLanguage&amp;"]]")</f>
        <v>#REF!</v>
      </c>
      <c r="K76" s="39" t="e" cm="1">
        <f t="array" aca="1" ref="K76" ca="1">INDIRECT("tbl_REF_Risques_TDSI[@[Taxo Risk "&amp;DocumentLanguage&amp;"]]")</f>
        <v>#REF!</v>
      </c>
      <c r="L76" s="39" t="e" cm="1">
        <f t="array" aca="1" ref="L76" ca="1">INDIRECT("tbl_REF_Risques_TDSI[@[Taxo Impact "&amp;DocumentLanguage&amp;"]]")</f>
        <v>#REF!</v>
      </c>
      <c r="M76" s="49"/>
      <c r="N76" s="63" t="e" cm="1">
        <f t="array" aca="1" ref="N76"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76" s="38" t="e" cm="1">
        <f t="array" aca="1" ref="O76" ca="1">_xlfn.LET(
 _xlpm.raw,_xlfn.TEXTSPLIT(M76,CHAR(10)),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76" s="38"/>
      <c r="Q76" s="10" t="e">
        <f ca="1">INDEX(INDIRECT("RiskResid_"&amp;DocumentLanguage),MATCH(tbl_Risks[[#This Row],[Niveau Risque Inhérent
Inherent Risk Level]], INDIRECT("niv_risk_"&amp;DocumentLanguage), 0),MATCH(tbl_Risks[[#This Row],[Efficacité globale 
Global efficiency]], INDIRECT("effglob_"&amp;DocumentLanguage), 0))</f>
        <v>#N/A</v>
      </c>
      <c r="R76" s="38"/>
      <c r="S76" s="10" t="e">
        <f ca="1">INDEX(INDIRECT("RiskResid_"&amp;DocumentLanguage),MATCH(tbl_Risks[[#This Row],[Niveau Risque Inhérent
Inherent Risk Level]], INDIRECT("niv_risk_"&amp;DocumentLanguage), 0),MATCH(tbl_Risks[[#This Row],[Efficacité finale
Final efficiency]], INDIRECT("effglob_"&amp;DocumentLanguage), 0))</f>
        <v>#N/A</v>
      </c>
    </row>
    <row r="77" spans="1:19">
      <c r="A77" s="38"/>
      <c r="B77" s="38"/>
      <c r="C77" s="39" t="e" cm="1">
        <f t="array" aca="1" ref="C77" ca="1">INDIRECT("tbl_REF_Risques_TDSI[@[Risk Scenario Title "&amp;DocumentLanguage&amp;"]]")</f>
        <v>#REF!</v>
      </c>
      <c r="D77" s="39" t="e" cm="1">
        <f t="array" aca="1" ref="D77" ca="1">INDIRECT("tbl_REF_Risques_TDSI[@[Risk Scenario Description "&amp;DocumentLanguage&amp;"]]")</f>
        <v>#REF!</v>
      </c>
      <c r="E77" s="41"/>
      <c r="F77" s="39"/>
      <c r="G77" s="39"/>
      <c r="H77" s="39"/>
      <c r="I77" s="1" t="str" cm="1">
        <f t="array" aca="1" ref="I77"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77" s="39" t="e" cm="1">
        <f t="array" aca="1" ref="J77" ca="1">INDIRECT("tbl_REF_Risques_TDSI[@[Taxo Cause "&amp;DocumentLanguage&amp;"]]")</f>
        <v>#REF!</v>
      </c>
      <c r="K77" s="39" t="e" cm="1">
        <f t="array" aca="1" ref="K77" ca="1">INDIRECT("tbl_REF_Risques_TDSI[@[Taxo Risk "&amp;DocumentLanguage&amp;"]]")</f>
        <v>#REF!</v>
      </c>
      <c r="L77" s="39" t="e" cm="1">
        <f t="array" aca="1" ref="L77" ca="1">INDIRECT("tbl_REF_Risques_TDSI[@[Taxo Impact "&amp;DocumentLanguage&amp;"]]")</f>
        <v>#REF!</v>
      </c>
      <c r="M77" s="49"/>
      <c r="N77" s="63" t="e" cm="1">
        <f t="array" aca="1" ref="N77"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77" s="38" t="e" cm="1">
        <f t="array" aca="1" ref="O77" ca="1">_xlfn.LET(
 _xlpm.raw,_xlfn.TEXTSPLIT(M77,CHAR(10)),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77" s="38"/>
      <c r="Q77" s="10" t="e">
        <f ca="1">INDEX(INDIRECT("RiskResid_"&amp;DocumentLanguage),MATCH(tbl_Risks[[#This Row],[Niveau Risque Inhérent
Inherent Risk Level]], INDIRECT("niv_risk_"&amp;DocumentLanguage), 0),MATCH(tbl_Risks[[#This Row],[Efficacité globale 
Global efficiency]], INDIRECT("effglob_"&amp;DocumentLanguage), 0))</f>
        <v>#N/A</v>
      </c>
      <c r="R77" s="38"/>
      <c r="S77" s="10" t="e">
        <f ca="1">INDEX(INDIRECT("RiskResid_"&amp;DocumentLanguage),MATCH(tbl_Risks[[#This Row],[Niveau Risque Inhérent
Inherent Risk Level]], INDIRECT("niv_risk_"&amp;DocumentLanguage), 0),MATCH(tbl_Risks[[#This Row],[Efficacité finale
Final efficiency]], INDIRECT("effglob_"&amp;DocumentLanguage), 0))</f>
        <v>#N/A</v>
      </c>
    </row>
    <row r="78" spans="1:19">
      <c r="A78" s="38"/>
      <c r="B78" s="38"/>
      <c r="C78" s="39" t="e" cm="1">
        <f t="array" aca="1" ref="C78" ca="1">INDIRECT("tbl_REF_Risques_TDSI[@[Risk Scenario Title "&amp;DocumentLanguage&amp;"]]")</f>
        <v>#REF!</v>
      </c>
      <c r="D78" s="39" t="e" cm="1">
        <f t="array" aca="1" ref="D78" ca="1">INDIRECT("tbl_REF_Risques_TDSI[@[Risk Scenario Description "&amp;DocumentLanguage&amp;"]]")</f>
        <v>#REF!</v>
      </c>
      <c r="E78" s="41"/>
      <c r="F78" s="39"/>
      <c r="G78" s="39"/>
      <c r="H78" s="39"/>
      <c r="I78" s="1" t="str" cm="1">
        <f t="array" aca="1" ref="I78"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78" s="39" t="e" cm="1">
        <f t="array" aca="1" ref="J78" ca="1">INDIRECT("tbl_REF_Risques_TDSI[@[Taxo Cause "&amp;DocumentLanguage&amp;"]]")</f>
        <v>#REF!</v>
      </c>
      <c r="K78" s="39" t="e" cm="1">
        <f t="array" aca="1" ref="K78" ca="1">INDIRECT("tbl_REF_Risques_TDSI[@[Taxo Risk "&amp;DocumentLanguage&amp;"]]")</f>
        <v>#REF!</v>
      </c>
      <c r="L78" s="39" t="e" cm="1">
        <f t="array" aca="1" ref="L78" ca="1">INDIRECT("tbl_REF_Risques_TDSI[@[Taxo Impact "&amp;DocumentLanguage&amp;"]]")</f>
        <v>#REF!</v>
      </c>
      <c r="M78" s="49"/>
      <c r="N78" s="63" t="e" cm="1">
        <f t="array" aca="1" ref="N78"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78" s="38" t="e" cm="1">
        <f t="array" aca="1" ref="O78" ca="1">_xlfn.LET(
 _xlpm.raw,_xlfn.TEXTSPLIT(M78,CHAR(10)),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78" s="38"/>
      <c r="Q78" s="10" t="e">
        <f ca="1">INDEX(INDIRECT("RiskResid_"&amp;DocumentLanguage),MATCH(tbl_Risks[[#This Row],[Niveau Risque Inhérent
Inherent Risk Level]], INDIRECT("niv_risk_"&amp;DocumentLanguage), 0),MATCH(tbl_Risks[[#This Row],[Efficacité globale 
Global efficiency]], INDIRECT("effglob_"&amp;DocumentLanguage), 0))</f>
        <v>#N/A</v>
      </c>
      <c r="R78" s="38"/>
      <c r="S78" s="10" t="e">
        <f ca="1">INDEX(INDIRECT("RiskResid_"&amp;DocumentLanguage),MATCH(tbl_Risks[[#This Row],[Niveau Risque Inhérent
Inherent Risk Level]], INDIRECT("niv_risk_"&amp;DocumentLanguage), 0),MATCH(tbl_Risks[[#This Row],[Efficacité finale
Final efficiency]], INDIRECT("effglob_"&amp;DocumentLanguage), 0))</f>
        <v>#N/A</v>
      </c>
    </row>
    <row r="79" spans="1:19">
      <c r="A79" s="38"/>
      <c r="B79" s="38"/>
      <c r="C79" s="39" t="e" cm="1">
        <f t="array" aca="1" ref="C79" ca="1">INDIRECT("tbl_REF_Risques_TDSI[@[Risk Scenario Title "&amp;DocumentLanguage&amp;"]]")</f>
        <v>#REF!</v>
      </c>
      <c r="D79" s="39" t="e" cm="1">
        <f t="array" aca="1" ref="D79" ca="1">INDIRECT("tbl_REF_Risques_TDSI[@[Risk Scenario Description "&amp;DocumentLanguage&amp;"]]")</f>
        <v>#REF!</v>
      </c>
      <c r="E79" s="41"/>
      <c r="F79" s="39"/>
      <c r="G79" s="39"/>
      <c r="H79" s="39"/>
      <c r="I79" s="1" t="str" cm="1">
        <f t="array" aca="1" ref="I79"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79" s="39" t="e" cm="1">
        <f t="array" aca="1" ref="J79" ca="1">INDIRECT("tbl_REF_Risques_TDSI[@[Taxo Cause "&amp;DocumentLanguage&amp;"]]")</f>
        <v>#REF!</v>
      </c>
      <c r="K79" s="39" t="e" cm="1">
        <f t="array" aca="1" ref="K79" ca="1">INDIRECT("tbl_REF_Risques_TDSI[@[Taxo Risk "&amp;DocumentLanguage&amp;"]]")</f>
        <v>#REF!</v>
      </c>
      <c r="L79" s="39" t="e" cm="1">
        <f t="array" aca="1" ref="L79" ca="1">INDIRECT("tbl_REF_Risques_TDSI[@[Taxo Impact "&amp;DocumentLanguage&amp;"]]")</f>
        <v>#REF!</v>
      </c>
      <c r="M79" s="49"/>
      <c r="N79" s="63" t="e" cm="1">
        <f t="array" aca="1" ref="N79"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79" s="38" t="e" cm="1">
        <f t="array" aca="1" ref="O79" ca="1">_xlfn.LET(
 _xlpm.raw,_xlfn.TEXTSPLIT(M79,CHAR(10)),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79" s="38"/>
      <c r="Q79" s="10" t="e">
        <f ca="1">INDEX(INDIRECT("RiskResid_"&amp;DocumentLanguage),MATCH(tbl_Risks[[#This Row],[Niveau Risque Inhérent
Inherent Risk Level]], INDIRECT("niv_risk_"&amp;DocumentLanguage), 0),MATCH(tbl_Risks[[#This Row],[Efficacité globale 
Global efficiency]], INDIRECT("effglob_"&amp;DocumentLanguage), 0))</f>
        <v>#N/A</v>
      </c>
      <c r="R79" s="38"/>
      <c r="S79" s="10" t="e">
        <f ca="1">INDEX(INDIRECT("RiskResid_"&amp;DocumentLanguage),MATCH(tbl_Risks[[#This Row],[Niveau Risque Inhérent
Inherent Risk Level]], INDIRECT("niv_risk_"&amp;DocumentLanguage), 0),MATCH(tbl_Risks[[#This Row],[Efficacité finale
Final efficiency]], INDIRECT("effglob_"&amp;DocumentLanguage), 0))</f>
        <v>#N/A</v>
      </c>
    </row>
    <row r="80" spans="1:19">
      <c r="A80" s="38"/>
      <c r="B80" s="38"/>
      <c r="C80" s="39" t="e" cm="1">
        <f t="array" aca="1" ref="C80" ca="1">INDIRECT("tbl_REF_Risques_TDSI[@[Risk Scenario Title "&amp;DocumentLanguage&amp;"]]")</f>
        <v>#REF!</v>
      </c>
      <c r="D80" s="39" t="e" cm="1">
        <f t="array" aca="1" ref="D80" ca="1">INDIRECT("tbl_REF_Risques_TDSI[@[Risk Scenario Description "&amp;DocumentLanguage&amp;"]]")</f>
        <v>#REF!</v>
      </c>
      <c r="E80" s="41"/>
      <c r="F80" s="39"/>
      <c r="G80" s="39"/>
      <c r="H80" s="39"/>
      <c r="I80" s="1" t="str" cm="1">
        <f t="array" aca="1" ref="I80"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80" s="39" t="e" cm="1">
        <f t="array" aca="1" ref="J80" ca="1">INDIRECT("tbl_REF_Risques_TDSI[@[Taxo Cause "&amp;DocumentLanguage&amp;"]]")</f>
        <v>#REF!</v>
      </c>
      <c r="K80" s="39" t="e" cm="1">
        <f t="array" aca="1" ref="K80" ca="1">INDIRECT("tbl_REF_Risques_TDSI[@[Taxo Risk "&amp;DocumentLanguage&amp;"]]")</f>
        <v>#REF!</v>
      </c>
      <c r="L80" s="39" t="e" cm="1">
        <f t="array" aca="1" ref="L80" ca="1">INDIRECT("tbl_REF_Risques_TDSI[@[Taxo Impact "&amp;DocumentLanguage&amp;"]]")</f>
        <v>#REF!</v>
      </c>
      <c r="M80" s="49"/>
      <c r="N80" s="63" t="e" cm="1">
        <f t="array" aca="1" ref="N80"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80" s="38" t="e" cm="1">
        <f t="array" aca="1" ref="O80" ca="1">_xlfn.LET(
 _xlpm.raw,_xlfn.TEXTSPLIT(M80,CHAR(10)),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80" s="38"/>
      <c r="Q80" s="10" t="e">
        <f ca="1">INDEX(INDIRECT("RiskResid_"&amp;DocumentLanguage),MATCH(tbl_Risks[[#This Row],[Niveau Risque Inhérent
Inherent Risk Level]], INDIRECT("niv_risk_"&amp;DocumentLanguage), 0),MATCH(tbl_Risks[[#This Row],[Efficacité globale 
Global efficiency]], INDIRECT("effglob_"&amp;DocumentLanguage), 0))</f>
        <v>#N/A</v>
      </c>
      <c r="R80" s="38"/>
      <c r="S80" s="10" t="e">
        <f ca="1">INDEX(INDIRECT("RiskResid_"&amp;DocumentLanguage),MATCH(tbl_Risks[[#This Row],[Niveau Risque Inhérent
Inherent Risk Level]], INDIRECT("niv_risk_"&amp;DocumentLanguage), 0),MATCH(tbl_Risks[[#This Row],[Efficacité finale
Final efficiency]], INDIRECT("effglob_"&amp;DocumentLanguage), 0))</f>
        <v>#N/A</v>
      </c>
    </row>
    <row r="81" spans="1:19">
      <c r="A81" s="38"/>
      <c r="B81" s="38"/>
      <c r="C81" s="39" t="e" cm="1">
        <f t="array" aca="1" ref="C81" ca="1">INDIRECT("tbl_REF_Risques_TDSI[@[Risk Scenario Title "&amp;DocumentLanguage&amp;"]]")</f>
        <v>#REF!</v>
      </c>
      <c r="D81" s="39" t="e" cm="1">
        <f t="array" aca="1" ref="D81" ca="1">INDIRECT("tbl_REF_Risques_TDSI[@[Risk Scenario Description "&amp;DocumentLanguage&amp;"]]")</f>
        <v>#REF!</v>
      </c>
      <c r="E81" s="41"/>
      <c r="F81" s="39"/>
      <c r="G81" s="39"/>
      <c r="H81" s="39"/>
      <c r="I81" s="1" t="str" cm="1">
        <f t="array" aca="1" ref="I81"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81" s="39" t="e" cm="1">
        <f t="array" aca="1" ref="J81" ca="1">INDIRECT("tbl_REF_Risques_TDSI[@[Taxo Cause "&amp;DocumentLanguage&amp;"]]")</f>
        <v>#REF!</v>
      </c>
      <c r="K81" s="39" t="e" cm="1">
        <f t="array" aca="1" ref="K81" ca="1">INDIRECT("tbl_REF_Risques_TDSI[@[Taxo Risk "&amp;DocumentLanguage&amp;"]]")</f>
        <v>#REF!</v>
      </c>
      <c r="L81" s="39" t="e" cm="1">
        <f t="array" aca="1" ref="L81" ca="1">INDIRECT("tbl_REF_Risques_TDSI[@[Taxo Impact "&amp;DocumentLanguage&amp;"]]")</f>
        <v>#REF!</v>
      </c>
      <c r="M81" s="49"/>
      <c r="N81" s="63" t="e" cm="1">
        <f t="array" aca="1" ref="N81"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81" s="38" t="e" cm="1">
        <f t="array" aca="1" ref="O81" ca="1">_xlfn.LET(
 _xlpm.raw,_xlfn.TEXTSPLIT(M81,CHAR(10)),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81" s="38"/>
      <c r="Q81" s="10" t="e">
        <f ca="1">INDEX(INDIRECT("RiskResid_"&amp;DocumentLanguage),MATCH(tbl_Risks[[#This Row],[Niveau Risque Inhérent
Inherent Risk Level]], INDIRECT("niv_risk_"&amp;DocumentLanguage), 0),MATCH(tbl_Risks[[#This Row],[Efficacité globale 
Global efficiency]], INDIRECT("effglob_"&amp;DocumentLanguage), 0))</f>
        <v>#N/A</v>
      </c>
      <c r="R81" s="38"/>
      <c r="S81" s="10" t="e">
        <f ca="1">INDEX(INDIRECT("RiskResid_"&amp;DocumentLanguage),MATCH(tbl_Risks[[#This Row],[Niveau Risque Inhérent
Inherent Risk Level]], INDIRECT("niv_risk_"&amp;DocumentLanguage), 0),MATCH(tbl_Risks[[#This Row],[Efficacité finale
Final efficiency]], INDIRECT("effglob_"&amp;DocumentLanguage), 0))</f>
        <v>#N/A</v>
      </c>
    </row>
    <row r="82" spans="1:19">
      <c r="A82" s="38"/>
      <c r="B82" s="38"/>
      <c r="C82" s="39" t="e" cm="1">
        <f t="array" aca="1" ref="C82" ca="1">INDIRECT("tbl_REF_Risques_TDSI[@[Risk Scenario Title "&amp;DocumentLanguage&amp;"]]")</f>
        <v>#REF!</v>
      </c>
      <c r="D82" s="39" t="e" cm="1">
        <f t="array" aca="1" ref="D82" ca="1">INDIRECT("tbl_REF_Risques_TDSI[@[Risk Scenario Description "&amp;DocumentLanguage&amp;"]]")</f>
        <v>#REF!</v>
      </c>
      <c r="E82" s="41"/>
      <c r="F82" s="39"/>
      <c r="G82" s="39"/>
      <c r="H82" s="39"/>
      <c r="I82" s="1" t="str" cm="1">
        <f t="array" aca="1" ref="I82"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82" s="39" t="e" cm="1">
        <f t="array" aca="1" ref="J82" ca="1">INDIRECT("tbl_REF_Risques_TDSI[@[Taxo Cause "&amp;DocumentLanguage&amp;"]]")</f>
        <v>#REF!</v>
      </c>
      <c r="K82" s="39" t="e" cm="1">
        <f t="array" aca="1" ref="K82" ca="1">INDIRECT("tbl_REF_Risques_TDSI[@[Taxo Risk "&amp;DocumentLanguage&amp;"]]")</f>
        <v>#REF!</v>
      </c>
      <c r="L82" s="39" t="e" cm="1">
        <f t="array" aca="1" ref="L82" ca="1">INDIRECT("tbl_REF_Risques_TDSI[@[Taxo Impact "&amp;DocumentLanguage&amp;"]]")</f>
        <v>#REF!</v>
      </c>
      <c r="M82" s="49"/>
      <c r="N82" s="63" t="e" cm="1">
        <f t="array" aca="1" ref="N82"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82" s="38" t="e" cm="1">
        <f t="array" aca="1" ref="O82" ca="1">_xlfn.LET(
 _xlpm.raw,_xlfn.TEXTSPLIT(M82,CHAR(10)),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82" s="38"/>
      <c r="Q82" s="10" t="e">
        <f ca="1">INDEX(INDIRECT("RiskResid_"&amp;DocumentLanguage),MATCH(tbl_Risks[[#This Row],[Niveau Risque Inhérent
Inherent Risk Level]], INDIRECT("niv_risk_"&amp;DocumentLanguage), 0),MATCH(tbl_Risks[[#This Row],[Efficacité globale 
Global efficiency]], INDIRECT("effglob_"&amp;DocumentLanguage), 0))</f>
        <v>#N/A</v>
      </c>
      <c r="R82" s="38"/>
      <c r="S82" s="10" t="e">
        <f ca="1">INDEX(INDIRECT("RiskResid_"&amp;DocumentLanguage),MATCH(tbl_Risks[[#This Row],[Niveau Risque Inhérent
Inherent Risk Level]], INDIRECT("niv_risk_"&amp;DocumentLanguage), 0),MATCH(tbl_Risks[[#This Row],[Efficacité finale
Final efficiency]], INDIRECT("effglob_"&amp;DocumentLanguage), 0))</f>
        <v>#N/A</v>
      </c>
    </row>
    <row r="83" spans="1:19">
      <c r="A83" s="38"/>
      <c r="B83" s="38"/>
      <c r="C83" s="39" t="e" cm="1">
        <f t="array" aca="1" ref="C83" ca="1">INDIRECT("tbl_REF_Risques_TDSI[@[Risk Scenario Title "&amp;DocumentLanguage&amp;"]]")</f>
        <v>#REF!</v>
      </c>
      <c r="D83" s="39" t="e" cm="1">
        <f t="array" aca="1" ref="D83" ca="1">INDIRECT("tbl_REF_Risques_TDSI[@[Risk Scenario Description "&amp;DocumentLanguage&amp;"]]")</f>
        <v>#REF!</v>
      </c>
      <c r="E83" s="41"/>
      <c r="F83" s="39"/>
      <c r="G83" s="39"/>
      <c r="H83" s="39"/>
      <c r="I83" s="1" t="str" cm="1">
        <f t="array" aca="1" ref="I83"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83" s="39" t="e" cm="1">
        <f t="array" aca="1" ref="J83" ca="1">INDIRECT("tbl_REF_Risques_TDSI[@[Taxo Cause "&amp;DocumentLanguage&amp;"]]")</f>
        <v>#REF!</v>
      </c>
      <c r="K83" s="39" t="e" cm="1">
        <f t="array" aca="1" ref="K83" ca="1">INDIRECT("tbl_REF_Risques_TDSI[@[Taxo Risk "&amp;DocumentLanguage&amp;"]]")</f>
        <v>#REF!</v>
      </c>
      <c r="L83" s="39" t="e" cm="1">
        <f t="array" aca="1" ref="L83" ca="1">INDIRECT("tbl_REF_Risques_TDSI[@[Taxo Impact "&amp;DocumentLanguage&amp;"]]")</f>
        <v>#REF!</v>
      </c>
      <c r="M83" s="49"/>
      <c r="N83" s="63" t="e" cm="1">
        <f t="array" aca="1" ref="N83"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83" s="38" t="e" cm="1">
        <f t="array" aca="1" ref="O83" ca="1">_xlfn.LET(
 _xlpm.raw,_xlfn.TEXTSPLIT(M83,CHAR(10)),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83" s="38"/>
      <c r="Q83" s="10" t="e">
        <f ca="1">INDEX(INDIRECT("RiskResid_"&amp;DocumentLanguage),MATCH(tbl_Risks[[#This Row],[Niveau Risque Inhérent
Inherent Risk Level]], INDIRECT("niv_risk_"&amp;DocumentLanguage), 0),MATCH(tbl_Risks[[#This Row],[Efficacité globale 
Global efficiency]], INDIRECT("effglob_"&amp;DocumentLanguage), 0))</f>
        <v>#N/A</v>
      </c>
      <c r="R83" s="38"/>
      <c r="S83" s="10" t="e">
        <f ca="1">INDEX(INDIRECT("RiskResid_"&amp;DocumentLanguage),MATCH(tbl_Risks[[#This Row],[Niveau Risque Inhérent
Inherent Risk Level]], INDIRECT("niv_risk_"&amp;DocumentLanguage), 0),MATCH(tbl_Risks[[#This Row],[Efficacité finale
Final efficiency]], INDIRECT("effglob_"&amp;DocumentLanguage), 0))</f>
        <v>#N/A</v>
      </c>
    </row>
    <row r="84" spans="1:19">
      <c r="A84" s="38"/>
      <c r="B84" s="38"/>
      <c r="C84" s="39" t="e" cm="1">
        <f t="array" aca="1" ref="C84" ca="1">INDIRECT("tbl_REF_Risques_TDSI[@[Risk Scenario Title "&amp;DocumentLanguage&amp;"]]")</f>
        <v>#REF!</v>
      </c>
      <c r="D84" s="39" t="e" cm="1">
        <f t="array" aca="1" ref="D84" ca="1">INDIRECT("tbl_REF_Risques_TDSI[@[Risk Scenario Description "&amp;DocumentLanguage&amp;"]]")</f>
        <v>#REF!</v>
      </c>
      <c r="E84" s="41"/>
      <c r="F84" s="39"/>
      <c r="G84" s="39"/>
      <c r="H84" s="39"/>
      <c r="I84" s="1" t="str" cm="1">
        <f t="array" aca="1" ref="I84"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84" s="39" t="e" cm="1">
        <f t="array" aca="1" ref="J84" ca="1">INDIRECT("tbl_REF_Risques_TDSI[@[Taxo Cause "&amp;DocumentLanguage&amp;"]]")</f>
        <v>#REF!</v>
      </c>
      <c r="K84" s="39" t="e" cm="1">
        <f t="array" aca="1" ref="K84" ca="1">INDIRECT("tbl_REF_Risques_TDSI[@[Taxo Risk "&amp;DocumentLanguage&amp;"]]")</f>
        <v>#REF!</v>
      </c>
      <c r="L84" s="39" t="e" cm="1">
        <f t="array" aca="1" ref="L84" ca="1">INDIRECT("tbl_REF_Risques_TDSI[@[Taxo Impact "&amp;DocumentLanguage&amp;"]]")</f>
        <v>#REF!</v>
      </c>
      <c r="M84" s="49"/>
      <c r="N84" s="63" t="e" cm="1">
        <f t="array" aca="1" ref="N84"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84" s="38" t="e" cm="1">
        <f t="array" aca="1" ref="O84" ca="1">_xlfn.LET(
 _xlpm.raw,_xlfn.TEXTSPLIT(M84,CHAR(10)),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84" s="38"/>
      <c r="Q84" s="10" t="e">
        <f ca="1">INDEX(INDIRECT("RiskResid_"&amp;DocumentLanguage),MATCH(tbl_Risks[[#This Row],[Niveau Risque Inhérent
Inherent Risk Level]], INDIRECT("niv_risk_"&amp;DocumentLanguage), 0),MATCH(tbl_Risks[[#This Row],[Efficacité globale 
Global efficiency]], INDIRECT("effglob_"&amp;DocumentLanguage), 0))</f>
        <v>#N/A</v>
      </c>
      <c r="R84" s="38"/>
      <c r="S84" s="10" t="e">
        <f ca="1">INDEX(INDIRECT("RiskResid_"&amp;DocumentLanguage),MATCH(tbl_Risks[[#This Row],[Niveau Risque Inhérent
Inherent Risk Level]], INDIRECT("niv_risk_"&amp;DocumentLanguage), 0),MATCH(tbl_Risks[[#This Row],[Efficacité finale
Final efficiency]], INDIRECT("effglob_"&amp;DocumentLanguage), 0))</f>
        <v>#N/A</v>
      </c>
    </row>
    <row r="85" spans="1:19">
      <c r="A85" s="38"/>
      <c r="B85" s="38"/>
      <c r="C85" s="39" t="e" cm="1">
        <f t="array" aca="1" ref="C85" ca="1">INDIRECT("tbl_REF_Risques_TDSI[@[Risk Scenario Title "&amp;DocumentLanguage&amp;"]]")</f>
        <v>#REF!</v>
      </c>
      <c r="D85" s="39" t="e" cm="1">
        <f t="array" aca="1" ref="D85" ca="1">INDIRECT("tbl_REF_Risques_TDSI[@[Risk Scenario Description "&amp;DocumentLanguage&amp;"]]")</f>
        <v>#REF!</v>
      </c>
      <c r="E85" s="41"/>
      <c r="F85" s="39"/>
      <c r="G85" s="39"/>
      <c r="H85" s="39"/>
      <c r="I85" s="1" t="str" cm="1">
        <f t="array" aca="1" ref="I85"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85" s="39" t="e" cm="1">
        <f t="array" aca="1" ref="J85" ca="1">INDIRECT("tbl_REF_Risques_TDSI[@[Taxo Cause "&amp;DocumentLanguage&amp;"]]")</f>
        <v>#REF!</v>
      </c>
      <c r="K85" s="39" t="e" cm="1">
        <f t="array" aca="1" ref="K85" ca="1">INDIRECT("tbl_REF_Risques_TDSI[@[Taxo Risk "&amp;DocumentLanguage&amp;"]]")</f>
        <v>#REF!</v>
      </c>
      <c r="L85" s="39" t="e" cm="1">
        <f t="array" aca="1" ref="L85" ca="1">INDIRECT("tbl_REF_Risques_TDSI[@[Taxo Impact "&amp;DocumentLanguage&amp;"]]")</f>
        <v>#REF!</v>
      </c>
      <c r="M85" s="49"/>
      <c r="N85" s="63" t="e" cm="1">
        <f t="array" aca="1" ref="N85"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85" s="38" t="e" cm="1">
        <f t="array" aca="1" ref="O85" ca="1">_xlfn.LET(
 _xlpm.raw,_xlfn.TEXTSPLIT(M85,CHAR(10)),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85" s="38"/>
      <c r="Q85" s="10" t="e">
        <f ca="1">INDEX(INDIRECT("RiskResid_"&amp;DocumentLanguage),MATCH(tbl_Risks[[#This Row],[Niveau Risque Inhérent
Inherent Risk Level]], INDIRECT("niv_risk_"&amp;DocumentLanguage), 0),MATCH(tbl_Risks[[#This Row],[Efficacité globale 
Global efficiency]], INDIRECT("effglob_"&amp;DocumentLanguage), 0))</f>
        <v>#N/A</v>
      </c>
      <c r="R85" s="38"/>
      <c r="S85" s="10" t="e">
        <f ca="1">INDEX(INDIRECT("RiskResid_"&amp;DocumentLanguage),MATCH(tbl_Risks[[#This Row],[Niveau Risque Inhérent
Inherent Risk Level]], INDIRECT("niv_risk_"&amp;DocumentLanguage), 0),MATCH(tbl_Risks[[#This Row],[Efficacité finale
Final efficiency]], INDIRECT("effglob_"&amp;DocumentLanguage), 0))</f>
        <v>#N/A</v>
      </c>
    </row>
    <row r="86" spans="1:19">
      <c r="A86" s="38"/>
      <c r="B86" s="38"/>
      <c r="C86" s="39" t="e" cm="1">
        <f t="array" aca="1" ref="C86" ca="1">INDIRECT("tbl_REF_Risques_TDSI[@[Risk Scenario Title "&amp;DocumentLanguage&amp;"]]")</f>
        <v>#REF!</v>
      </c>
      <c r="D86" s="39" t="e" cm="1">
        <f t="array" aca="1" ref="D86" ca="1">INDIRECT("tbl_REF_Risques_TDSI[@[Risk Scenario Description "&amp;DocumentLanguage&amp;"]]")</f>
        <v>#REF!</v>
      </c>
      <c r="E86" s="41"/>
      <c r="F86" s="39"/>
      <c r="G86" s="39"/>
      <c r="H86" s="39"/>
      <c r="I86" s="1" t="str" cm="1">
        <f t="array" aca="1" ref="I86"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86" s="39" t="e" cm="1">
        <f t="array" aca="1" ref="J86" ca="1">INDIRECT("tbl_REF_Risques_TDSI[@[Taxo Cause "&amp;DocumentLanguage&amp;"]]")</f>
        <v>#REF!</v>
      </c>
      <c r="K86" s="39" t="e" cm="1">
        <f t="array" aca="1" ref="K86" ca="1">INDIRECT("tbl_REF_Risques_TDSI[@[Taxo Risk "&amp;DocumentLanguage&amp;"]]")</f>
        <v>#REF!</v>
      </c>
      <c r="L86" s="39" t="e" cm="1">
        <f t="array" aca="1" ref="L86" ca="1">INDIRECT("tbl_REF_Risques_TDSI[@[Taxo Impact "&amp;DocumentLanguage&amp;"]]")</f>
        <v>#REF!</v>
      </c>
      <c r="M86" s="49"/>
      <c r="N86" s="63" t="e" cm="1">
        <f t="array" aca="1" ref="N86"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86" s="38" t="e" cm="1">
        <f t="array" aca="1" ref="O86" ca="1">_xlfn.LET(
 _xlpm.raw,_xlfn.TEXTSPLIT(M86,CHAR(10)),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86" s="38"/>
      <c r="Q86" s="10" t="e">
        <f ca="1">INDEX(INDIRECT("RiskResid_"&amp;DocumentLanguage),MATCH(tbl_Risks[[#This Row],[Niveau Risque Inhérent
Inherent Risk Level]], INDIRECT("niv_risk_"&amp;DocumentLanguage), 0),MATCH(tbl_Risks[[#This Row],[Efficacité globale 
Global efficiency]], INDIRECT("effglob_"&amp;DocumentLanguage), 0))</f>
        <v>#N/A</v>
      </c>
      <c r="R86" s="38"/>
      <c r="S86" s="10" t="e">
        <f ca="1">INDEX(INDIRECT("RiskResid_"&amp;DocumentLanguage),MATCH(tbl_Risks[[#This Row],[Niveau Risque Inhérent
Inherent Risk Level]], INDIRECT("niv_risk_"&amp;DocumentLanguage), 0),MATCH(tbl_Risks[[#This Row],[Efficacité finale
Final efficiency]], INDIRECT("effglob_"&amp;DocumentLanguage), 0))</f>
        <v>#N/A</v>
      </c>
    </row>
    <row r="87" spans="1:19">
      <c r="A87" s="38"/>
      <c r="B87" s="38"/>
      <c r="C87" s="39" t="e" cm="1">
        <f t="array" aca="1" ref="C87" ca="1">INDIRECT("tbl_REF_Risques_TDSI[@[Risk Scenario Title "&amp;DocumentLanguage&amp;"]]")</f>
        <v>#REF!</v>
      </c>
      <c r="D87" s="39" t="e" cm="1">
        <f t="array" aca="1" ref="D87" ca="1">INDIRECT("tbl_REF_Risques_TDSI[@[Risk Scenario Description "&amp;DocumentLanguage&amp;"]]")</f>
        <v>#REF!</v>
      </c>
      <c r="E87" s="41"/>
      <c r="F87" s="39"/>
      <c r="G87" s="39"/>
      <c r="H87" s="39"/>
      <c r="I87" s="1" t="str" cm="1">
        <f t="array" aca="1" ref="I87"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87" s="39" t="e" cm="1">
        <f t="array" aca="1" ref="J87" ca="1">INDIRECT("tbl_REF_Risques_TDSI[@[Taxo Cause "&amp;DocumentLanguage&amp;"]]")</f>
        <v>#REF!</v>
      </c>
      <c r="K87" s="39" t="e" cm="1">
        <f t="array" aca="1" ref="K87" ca="1">INDIRECT("tbl_REF_Risques_TDSI[@[Taxo Risk "&amp;DocumentLanguage&amp;"]]")</f>
        <v>#REF!</v>
      </c>
      <c r="L87" s="39" t="e" cm="1">
        <f t="array" aca="1" ref="L87" ca="1">INDIRECT("tbl_REF_Risques_TDSI[@[Taxo Impact "&amp;DocumentLanguage&amp;"]]")</f>
        <v>#REF!</v>
      </c>
      <c r="M87" s="49"/>
      <c r="N87" s="63" t="e" cm="1">
        <f t="array" aca="1" ref="N87"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87" s="38" t="e" cm="1">
        <f t="array" aca="1" ref="O87" ca="1">_xlfn.LET(
 _xlpm.raw,_xlfn.TEXTSPLIT(M87,CHAR(10)),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87" s="38"/>
      <c r="Q87" s="10" t="e">
        <f ca="1">INDEX(INDIRECT("RiskResid_"&amp;DocumentLanguage),MATCH(tbl_Risks[[#This Row],[Niveau Risque Inhérent
Inherent Risk Level]], INDIRECT("niv_risk_"&amp;DocumentLanguage), 0),MATCH(tbl_Risks[[#This Row],[Efficacité globale 
Global efficiency]], INDIRECT("effglob_"&amp;DocumentLanguage), 0))</f>
        <v>#N/A</v>
      </c>
      <c r="R87" s="38"/>
      <c r="S87" s="10" t="e">
        <f ca="1">INDEX(INDIRECT("RiskResid_"&amp;DocumentLanguage),MATCH(tbl_Risks[[#This Row],[Niveau Risque Inhérent
Inherent Risk Level]], INDIRECT("niv_risk_"&amp;DocumentLanguage), 0),MATCH(tbl_Risks[[#This Row],[Efficacité finale
Final efficiency]], INDIRECT("effglob_"&amp;DocumentLanguage), 0))</f>
        <v>#N/A</v>
      </c>
    </row>
    <row r="88" spans="1:19">
      <c r="A88" s="38"/>
      <c r="B88" s="38"/>
      <c r="C88" s="39" t="e" cm="1">
        <f t="array" aca="1" ref="C88" ca="1">INDIRECT("tbl_REF_Risques_TDSI[@[Risk Scenario Title "&amp;DocumentLanguage&amp;"]]")</f>
        <v>#REF!</v>
      </c>
      <c r="D88" s="39" t="e" cm="1">
        <f t="array" aca="1" ref="D88" ca="1">INDIRECT("tbl_REF_Risques_TDSI[@[Risk Scenario Description "&amp;DocumentLanguage&amp;"]]")</f>
        <v>#REF!</v>
      </c>
      <c r="E88" s="41"/>
      <c r="F88" s="39"/>
      <c r="G88" s="39"/>
      <c r="H88" s="39"/>
      <c r="I88" s="1" t="str" cm="1">
        <f t="array" aca="1" ref="I88"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88" s="39" t="e" cm="1">
        <f t="array" aca="1" ref="J88" ca="1">INDIRECT("tbl_REF_Risques_TDSI[@[Taxo Cause "&amp;DocumentLanguage&amp;"]]")</f>
        <v>#REF!</v>
      </c>
      <c r="K88" s="39" t="e" cm="1">
        <f t="array" aca="1" ref="K88" ca="1">INDIRECT("tbl_REF_Risques_TDSI[@[Taxo Risk "&amp;DocumentLanguage&amp;"]]")</f>
        <v>#REF!</v>
      </c>
      <c r="L88" s="39" t="e" cm="1">
        <f t="array" aca="1" ref="L88" ca="1">INDIRECT("tbl_REF_Risques_TDSI[@[Taxo Impact "&amp;DocumentLanguage&amp;"]]")</f>
        <v>#REF!</v>
      </c>
      <c r="M88" s="49"/>
      <c r="N88" s="63" t="e" cm="1">
        <f t="array" aca="1" ref="N88"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88" s="38" t="e" cm="1">
        <f t="array" aca="1" ref="O88" ca="1">_xlfn.LET(
 _xlpm.raw,_xlfn.TEXTSPLIT(M88,CHAR(10)),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88" s="38"/>
      <c r="Q88" s="10" t="e">
        <f ca="1">INDEX(INDIRECT("RiskResid_"&amp;DocumentLanguage),MATCH(tbl_Risks[[#This Row],[Niveau Risque Inhérent
Inherent Risk Level]], INDIRECT("niv_risk_"&amp;DocumentLanguage), 0),MATCH(tbl_Risks[[#This Row],[Efficacité globale 
Global efficiency]], INDIRECT("effglob_"&amp;DocumentLanguage), 0))</f>
        <v>#N/A</v>
      </c>
      <c r="R88" s="38"/>
      <c r="S88" s="10" t="e">
        <f ca="1">INDEX(INDIRECT("RiskResid_"&amp;DocumentLanguage),MATCH(tbl_Risks[[#This Row],[Niveau Risque Inhérent
Inherent Risk Level]], INDIRECT("niv_risk_"&amp;DocumentLanguage), 0),MATCH(tbl_Risks[[#This Row],[Efficacité finale
Final efficiency]], INDIRECT("effglob_"&amp;DocumentLanguage), 0))</f>
        <v>#N/A</v>
      </c>
    </row>
    <row r="89" spans="1:19">
      <c r="A89" s="38"/>
      <c r="B89" s="38"/>
      <c r="C89" s="39" t="e" cm="1">
        <f t="array" aca="1" ref="C89" ca="1">INDIRECT("tbl_REF_Risques_TDSI[@[Risk Scenario Title "&amp;DocumentLanguage&amp;"]]")</f>
        <v>#REF!</v>
      </c>
      <c r="D89" s="39" t="e" cm="1">
        <f t="array" aca="1" ref="D89" ca="1">INDIRECT("tbl_REF_Risques_TDSI[@[Risk Scenario Description "&amp;DocumentLanguage&amp;"]]")</f>
        <v>#REF!</v>
      </c>
      <c r="E89" s="41"/>
      <c r="F89" s="39"/>
      <c r="G89" s="39"/>
      <c r="H89" s="39"/>
      <c r="I89" s="1" t="str" cm="1">
        <f t="array" aca="1" ref="I89"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89" s="39" t="e" cm="1">
        <f t="array" aca="1" ref="J89" ca="1">INDIRECT("tbl_REF_Risques_TDSI[@[Taxo Cause "&amp;DocumentLanguage&amp;"]]")</f>
        <v>#REF!</v>
      </c>
      <c r="K89" s="39" t="e" cm="1">
        <f t="array" aca="1" ref="K89" ca="1">INDIRECT("tbl_REF_Risques_TDSI[@[Taxo Risk "&amp;DocumentLanguage&amp;"]]")</f>
        <v>#REF!</v>
      </c>
      <c r="L89" s="39" t="e" cm="1">
        <f t="array" aca="1" ref="L89" ca="1">INDIRECT("tbl_REF_Risques_TDSI[@[Taxo Impact "&amp;DocumentLanguage&amp;"]]")</f>
        <v>#REF!</v>
      </c>
      <c r="M89" s="49"/>
      <c r="N89" s="63" t="e" cm="1">
        <f t="array" aca="1" ref="N89"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89" s="38" t="e" cm="1">
        <f t="array" aca="1" ref="O89" ca="1">_xlfn.LET(
 _xlpm.raw,_xlfn.TEXTSPLIT(M89,CHAR(10)),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89" s="38"/>
      <c r="Q89" s="10" t="e">
        <f ca="1">INDEX(INDIRECT("RiskResid_"&amp;DocumentLanguage),MATCH(tbl_Risks[[#This Row],[Niveau Risque Inhérent
Inherent Risk Level]], INDIRECT("niv_risk_"&amp;DocumentLanguage), 0),MATCH(tbl_Risks[[#This Row],[Efficacité globale 
Global efficiency]], INDIRECT("effglob_"&amp;DocumentLanguage), 0))</f>
        <v>#N/A</v>
      </c>
      <c r="R89" s="38"/>
      <c r="S89" s="10" t="e">
        <f ca="1">INDEX(INDIRECT("RiskResid_"&amp;DocumentLanguage),MATCH(tbl_Risks[[#This Row],[Niveau Risque Inhérent
Inherent Risk Level]], INDIRECT("niv_risk_"&amp;DocumentLanguage), 0),MATCH(tbl_Risks[[#This Row],[Efficacité finale
Final efficiency]], INDIRECT("effglob_"&amp;DocumentLanguage), 0))</f>
        <v>#N/A</v>
      </c>
    </row>
    <row r="90" spans="1:19">
      <c r="A90" s="38"/>
      <c r="B90" s="38"/>
      <c r="C90" s="39" t="e" cm="1">
        <f t="array" aca="1" ref="C90" ca="1">INDIRECT("tbl_REF_Risques_TDSI[@[Risk Scenario Title "&amp;DocumentLanguage&amp;"]]")</f>
        <v>#REF!</v>
      </c>
      <c r="D90" s="39" t="e" cm="1">
        <f t="array" aca="1" ref="D90" ca="1">INDIRECT("tbl_REF_Risques_TDSI[@[Risk Scenario Description "&amp;DocumentLanguage&amp;"]]")</f>
        <v>#REF!</v>
      </c>
      <c r="E90" s="41"/>
      <c r="F90" s="39"/>
      <c r="G90" s="39"/>
      <c r="H90" s="39"/>
      <c r="I90" s="1" t="str" cm="1">
        <f t="array" aca="1" ref="I90"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90" s="39" t="e" cm="1">
        <f t="array" aca="1" ref="J90" ca="1">INDIRECT("tbl_REF_Risques_TDSI[@[Taxo Cause "&amp;DocumentLanguage&amp;"]]")</f>
        <v>#REF!</v>
      </c>
      <c r="K90" s="39" t="e" cm="1">
        <f t="array" aca="1" ref="K90" ca="1">INDIRECT("tbl_REF_Risques_TDSI[@[Taxo Risk "&amp;DocumentLanguage&amp;"]]")</f>
        <v>#REF!</v>
      </c>
      <c r="L90" s="39" t="e" cm="1">
        <f t="array" aca="1" ref="L90" ca="1">INDIRECT("tbl_REF_Risques_TDSI[@[Taxo Impact "&amp;DocumentLanguage&amp;"]]")</f>
        <v>#REF!</v>
      </c>
      <c r="M90" s="49"/>
      <c r="N90" s="63" t="e" cm="1">
        <f t="array" aca="1" ref="N90"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90" s="38" t="e" cm="1">
        <f t="array" aca="1" ref="O90" ca="1">_xlfn.LET(
 _xlpm.raw,_xlfn.TEXTSPLIT(M90,CHAR(10)),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90" s="38"/>
      <c r="Q90" s="10" t="e">
        <f ca="1">INDEX(INDIRECT("RiskResid_"&amp;DocumentLanguage),MATCH(tbl_Risks[[#This Row],[Niveau Risque Inhérent
Inherent Risk Level]], INDIRECT("niv_risk_"&amp;DocumentLanguage), 0),MATCH(tbl_Risks[[#This Row],[Efficacité globale 
Global efficiency]], INDIRECT("effglob_"&amp;DocumentLanguage), 0))</f>
        <v>#N/A</v>
      </c>
      <c r="R90" s="38"/>
      <c r="S90" s="10" t="e">
        <f ca="1">INDEX(INDIRECT("RiskResid_"&amp;DocumentLanguage),MATCH(tbl_Risks[[#This Row],[Niveau Risque Inhérent
Inherent Risk Level]], INDIRECT("niv_risk_"&amp;DocumentLanguage), 0),MATCH(tbl_Risks[[#This Row],[Efficacité finale
Final efficiency]], INDIRECT("effglob_"&amp;DocumentLanguage), 0))</f>
        <v>#N/A</v>
      </c>
    </row>
    <row r="91" spans="1:19">
      <c r="A91" s="38"/>
      <c r="B91" s="38"/>
      <c r="C91" s="39" t="e" cm="1">
        <f t="array" aca="1" ref="C91" ca="1">INDIRECT("tbl_REF_Risques_TDSI[@[Risk Scenario Title "&amp;DocumentLanguage&amp;"]]")</f>
        <v>#REF!</v>
      </c>
      <c r="D91" s="39" t="e" cm="1">
        <f t="array" aca="1" ref="D91" ca="1">INDIRECT("tbl_REF_Risques_TDSI[@[Risk Scenario Description "&amp;DocumentLanguage&amp;"]]")</f>
        <v>#REF!</v>
      </c>
      <c r="E91" s="41"/>
      <c r="F91" s="39"/>
      <c r="G91" s="39"/>
      <c r="H91" s="39"/>
      <c r="I91" s="1" t="str" cm="1">
        <f t="array" aca="1" ref="I91"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91" s="39" t="e" cm="1">
        <f t="array" aca="1" ref="J91" ca="1">INDIRECT("tbl_REF_Risques_TDSI[@[Taxo Cause "&amp;DocumentLanguage&amp;"]]")</f>
        <v>#REF!</v>
      </c>
      <c r="K91" s="39" t="e" cm="1">
        <f t="array" aca="1" ref="K91" ca="1">INDIRECT("tbl_REF_Risques_TDSI[@[Taxo Risk "&amp;DocumentLanguage&amp;"]]")</f>
        <v>#REF!</v>
      </c>
      <c r="L91" s="39" t="e" cm="1">
        <f t="array" aca="1" ref="L91" ca="1">INDIRECT("tbl_REF_Risques_TDSI[@[Taxo Impact "&amp;DocumentLanguage&amp;"]]")</f>
        <v>#REF!</v>
      </c>
      <c r="M91" s="49"/>
      <c r="N91" s="63" t="e" cm="1">
        <f t="array" aca="1" ref="N91"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91" s="38" t="e" cm="1">
        <f t="array" aca="1" ref="O91" ca="1">_xlfn.LET(
 _xlpm.raw,_xlfn.TEXTSPLIT(M91,CHAR(10)),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91" s="38"/>
      <c r="Q91" s="10" t="e">
        <f ca="1">INDEX(INDIRECT("RiskResid_"&amp;DocumentLanguage),MATCH(tbl_Risks[[#This Row],[Niveau Risque Inhérent
Inherent Risk Level]], INDIRECT("niv_risk_"&amp;DocumentLanguage), 0),MATCH(tbl_Risks[[#This Row],[Efficacité globale 
Global efficiency]], INDIRECT("effglob_"&amp;DocumentLanguage), 0))</f>
        <v>#N/A</v>
      </c>
      <c r="R91" s="38"/>
      <c r="S91" s="10" t="e">
        <f ca="1">INDEX(INDIRECT("RiskResid_"&amp;DocumentLanguage),MATCH(tbl_Risks[[#This Row],[Niveau Risque Inhérent
Inherent Risk Level]], INDIRECT("niv_risk_"&amp;DocumentLanguage), 0),MATCH(tbl_Risks[[#This Row],[Efficacité finale
Final efficiency]], INDIRECT("effglob_"&amp;DocumentLanguage), 0))</f>
        <v>#N/A</v>
      </c>
    </row>
    <row r="92" spans="1:19">
      <c r="A92" s="38"/>
      <c r="B92" s="38"/>
      <c r="C92" s="39" t="e" cm="1">
        <f t="array" aca="1" ref="C92" ca="1">INDIRECT("tbl_REF_Risques_TDSI[@[Risk Scenario Title "&amp;DocumentLanguage&amp;"]]")</f>
        <v>#REF!</v>
      </c>
      <c r="D92" s="39" t="e" cm="1">
        <f t="array" aca="1" ref="D92" ca="1">INDIRECT("tbl_REF_Risques_TDSI[@[Risk Scenario Description "&amp;DocumentLanguage&amp;"]]")</f>
        <v>#REF!</v>
      </c>
      <c r="E92" s="41"/>
      <c r="F92" s="39"/>
      <c r="G92" s="39"/>
      <c r="H92" s="39"/>
      <c r="I92" s="1" t="str" cm="1">
        <f t="array" aca="1" ref="I92"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92" s="39" t="e" cm="1">
        <f t="array" aca="1" ref="J92" ca="1">INDIRECT("tbl_REF_Risques_TDSI[@[Taxo Cause "&amp;DocumentLanguage&amp;"]]")</f>
        <v>#REF!</v>
      </c>
      <c r="K92" s="39" t="e" cm="1">
        <f t="array" aca="1" ref="K92" ca="1">INDIRECT("tbl_REF_Risques_TDSI[@[Taxo Risk "&amp;DocumentLanguage&amp;"]]")</f>
        <v>#REF!</v>
      </c>
      <c r="L92" s="39" t="e" cm="1">
        <f t="array" aca="1" ref="L92" ca="1">INDIRECT("tbl_REF_Risques_TDSI[@[Taxo Impact "&amp;DocumentLanguage&amp;"]]")</f>
        <v>#REF!</v>
      </c>
      <c r="M92" s="49"/>
      <c r="N92" s="63" t="e" cm="1">
        <f t="array" aca="1" ref="N92"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92" s="38" t="e" cm="1">
        <f t="array" aca="1" ref="O92" ca="1">_xlfn.LET(
 _xlpm.raw,_xlfn.TEXTSPLIT(M92,CHAR(10)),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92" s="38"/>
      <c r="Q92" s="10" t="e">
        <f ca="1">INDEX(INDIRECT("RiskResid_"&amp;DocumentLanguage),MATCH(tbl_Risks[[#This Row],[Niveau Risque Inhérent
Inherent Risk Level]], INDIRECT("niv_risk_"&amp;DocumentLanguage), 0),MATCH(tbl_Risks[[#This Row],[Efficacité globale 
Global efficiency]], INDIRECT("effglob_"&amp;DocumentLanguage), 0))</f>
        <v>#N/A</v>
      </c>
      <c r="R92" s="38"/>
      <c r="S92" s="10" t="e">
        <f ca="1">INDEX(INDIRECT("RiskResid_"&amp;DocumentLanguage),MATCH(tbl_Risks[[#This Row],[Niveau Risque Inhérent
Inherent Risk Level]], INDIRECT("niv_risk_"&amp;DocumentLanguage), 0),MATCH(tbl_Risks[[#This Row],[Efficacité finale
Final efficiency]], INDIRECT("effglob_"&amp;DocumentLanguage), 0))</f>
        <v>#N/A</v>
      </c>
    </row>
    <row r="93" spans="1:19">
      <c r="A93" s="38"/>
      <c r="B93" s="38"/>
      <c r="C93" s="39" t="e" cm="1">
        <f t="array" aca="1" ref="C93" ca="1">INDIRECT("tbl_REF_Risques_TDSI[@[Risk Scenario Title "&amp;DocumentLanguage&amp;"]]")</f>
        <v>#REF!</v>
      </c>
      <c r="D93" s="39" t="e" cm="1">
        <f t="array" aca="1" ref="D93" ca="1">INDIRECT("tbl_REF_Risques_TDSI[@[Risk Scenario Description "&amp;DocumentLanguage&amp;"]]")</f>
        <v>#REF!</v>
      </c>
      <c r="E93" s="41"/>
      <c r="F93" s="39"/>
      <c r="G93" s="39"/>
      <c r="H93" s="39"/>
      <c r="I93" s="1" t="str" cm="1">
        <f t="array" aca="1" ref="I93"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93" s="39" t="e" cm="1">
        <f t="array" aca="1" ref="J93" ca="1">INDIRECT("tbl_REF_Risques_TDSI[@[Taxo Cause "&amp;DocumentLanguage&amp;"]]")</f>
        <v>#REF!</v>
      </c>
      <c r="K93" s="39" t="e" cm="1">
        <f t="array" aca="1" ref="K93" ca="1">INDIRECT("tbl_REF_Risques_TDSI[@[Taxo Risk "&amp;DocumentLanguage&amp;"]]")</f>
        <v>#REF!</v>
      </c>
      <c r="L93" s="39" t="e" cm="1">
        <f t="array" aca="1" ref="L93" ca="1">INDIRECT("tbl_REF_Risques_TDSI[@[Taxo Impact "&amp;DocumentLanguage&amp;"]]")</f>
        <v>#REF!</v>
      </c>
      <c r="M93" s="49"/>
      <c r="N93" s="63" t="e" cm="1">
        <f t="array" aca="1" ref="N93"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93" s="38" t="e" cm="1">
        <f t="array" aca="1" ref="O93" ca="1">_xlfn.LET(
 _xlpm.raw,_xlfn.TEXTSPLIT(M93,CHAR(10)),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93" s="38"/>
      <c r="Q93" s="10" t="e">
        <f ca="1">INDEX(INDIRECT("RiskResid_"&amp;DocumentLanguage),MATCH(tbl_Risks[[#This Row],[Niveau Risque Inhérent
Inherent Risk Level]], INDIRECT("niv_risk_"&amp;DocumentLanguage), 0),MATCH(tbl_Risks[[#This Row],[Efficacité globale 
Global efficiency]], INDIRECT("effglob_"&amp;DocumentLanguage), 0))</f>
        <v>#N/A</v>
      </c>
      <c r="R93" s="38"/>
      <c r="S93" s="10" t="e">
        <f ca="1">INDEX(INDIRECT("RiskResid_"&amp;DocumentLanguage),MATCH(tbl_Risks[[#This Row],[Niveau Risque Inhérent
Inherent Risk Level]], INDIRECT("niv_risk_"&amp;DocumentLanguage), 0),MATCH(tbl_Risks[[#This Row],[Efficacité finale
Final efficiency]], INDIRECT("effglob_"&amp;DocumentLanguage), 0))</f>
        <v>#N/A</v>
      </c>
    </row>
    <row r="94" spans="1:19">
      <c r="A94" s="38"/>
      <c r="B94" s="38"/>
      <c r="C94" s="39" t="e" cm="1">
        <f t="array" aca="1" ref="C94" ca="1">INDIRECT("tbl_REF_Risques_TDSI[@[Risk Scenario Title "&amp;DocumentLanguage&amp;"]]")</f>
        <v>#REF!</v>
      </c>
      <c r="D94" s="39" t="e" cm="1">
        <f t="array" aca="1" ref="D94" ca="1">INDIRECT("tbl_REF_Risques_TDSI[@[Risk Scenario Description "&amp;DocumentLanguage&amp;"]]")</f>
        <v>#REF!</v>
      </c>
      <c r="E94" s="41"/>
      <c r="F94" s="39"/>
      <c r="G94" s="39"/>
      <c r="H94" s="39"/>
      <c r="I94" s="1" t="str" cm="1">
        <f t="array" aca="1" ref="I94"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94" s="39" t="e" cm="1">
        <f t="array" aca="1" ref="J94" ca="1">INDIRECT("tbl_REF_Risques_TDSI[@[Taxo Cause "&amp;DocumentLanguage&amp;"]]")</f>
        <v>#REF!</v>
      </c>
      <c r="K94" s="39" t="e" cm="1">
        <f t="array" aca="1" ref="K94" ca="1">INDIRECT("tbl_REF_Risques_TDSI[@[Taxo Risk "&amp;DocumentLanguage&amp;"]]")</f>
        <v>#REF!</v>
      </c>
      <c r="L94" s="39" t="e" cm="1">
        <f t="array" aca="1" ref="L94" ca="1">INDIRECT("tbl_REF_Risques_TDSI[@[Taxo Impact "&amp;DocumentLanguage&amp;"]]")</f>
        <v>#REF!</v>
      </c>
      <c r="M94" s="49"/>
      <c r="N94" s="63" t="e" cm="1">
        <f t="array" aca="1" ref="N94"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94" s="38" t="e" cm="1">
        <f t="array" aca="1" ref="O94" ca="1">_xlfn.LET(
 _xlpm.raw,_xlfn.TEXTSPLIT(M94,CHAR(10)),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94" s="38"/>
      <c r="Q94" s="10" t="e">
        <f ca="1">INDEX(INDIRECT("RiskResid_"&amp;DocumentLanguage),MATCH(tbl_Risks[[#This Row],[Niveau Risque Inhérent
Inherent Risk Level]], INDIRECT("niv_risk_"&amp;DocumentLanguage), 0),MATCH(tbl_Risks[[#This Row],[Efficacité globale 
Global efficiency]], INDIRECT("effglob_"&amp;DocumentLanguage), 0))</f>
        <v>#N/A</v>
      </c>
      <c r="R94" s="38"/>
      <c r="S94" s="10" t="e">
        <f ca="1">INDEX(INDIRECT("RiskResid_"&amp;DocumentLanguage),MATCH(tbl_Risks[[#This Row],[Niveau Risque Inhérent
Inherent Risk Level]], INDIRECT("niv_risk_"&amp;DocumentLanguage), 0),MATCH(tbl_Risks[[#This Row],[Efficacité finale
Final efficiency]], INDIRECT("effglob_"&amp;DocumentLanguage), 0))</f>
        <v>#N/A</v>
      </c>
    </row>
    <row r="95" spans="1:19">
      <c r="A95" s="38"/>
      <c r="B95" s="38"/>
      <c r="C95" s="39" t="e" cm="1">
        <f t="array" aca="1" ref="C95" ca="1">INDIRECT("tbl_REF_Risques_TDSI[@[Risk Scenario Title "&amp;DocumentLanguage&amp;"]]")</f>
        <v>#REF!</v>
      </c>
      <c r="D95" s="39" t="e" cm="1">
        <f t="array" aca="1" ref="D95" ca="1">INDIRECT("tbl_REF_Risques_TDSI[@[Risk Scenario Description "&amp;DocumentLanguage&amp;"]]")</f>
        <v>#REF!</v>
      </c>
      <c r="E95" s="41"/>
      <c r="F95" s="39"/>
      <c r="G95" s="39"/>
      <c r="H95" s="39"/>
      <c r="I95" s="1" t="str" cm="1">
        <f t="array" aca="1" ref="I95"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95" s="39" t="e" cm="1">
        <f t="array" aca="1" ref="J95" ca="1">INDIRECT("tbl_REF_Risques_TDSI[@[Taxo Cause "&amp;DocumentLanguage&amp;"]]")</f>
        <v>#REF!</v>
      </c>
      <c r="K95" s="39" t="e" cm="1">
        <f t="array" aca="1" ref="K95" ca="1">INDIRECT("tbl_REF_Risques_TDSI[@[Taxo Risk "&amp;DocumentLanguage&amp;"]]")</f>
        <v>#REF!</v>
      </c>
      <c r="L95" s="39" t="e" cm="1">
        <f t="array" aca="1" ref="L95" ca="1">INDIRECT("tbl_REF_Risques_TDSI[@[Taxo Impact "&amp;DocumentLanguage&amp;"]]")</f>
        <v>#REF!</v>
      </c>
      <c r="M95" s="49"/>
      <c r="N95" s="63" t="e" cm="1">
        <f t="array" aca="1" ref="N95"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95" s="38" t="e" cm="1">
        <f t="array" aca="1" ref="O95" ca="1">_xlfn.LET(
 _xlpm.raw,_xlfn.TEXTSPLIT(M95,CHAR(10)),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95" s="38"/>
      <c r="Q95" s="10" t="e">
        <f ca="1">INDEX(INDIRECT("RiskResid_"&amp;DocumentLanguage),MATCH(tbl_Risks[[#This Row],[Niveau Risque Inhérent
Inherent Risk Level]], INDIRECT("niv_risk_"&amp;DocumentLanguage), 0),MATCH(tbl_Risks[[#This Row],[Efficacité globale 
Global efficiency]], INDIRECT("effglob_"&amp;DocumentLanguage), 0))</f>
        <v>#N/A</v>
      </c>
      <c r="R95" s="38"/>
      <c r="S95" s="10" t="e">
        <f ca="1">INDEX(INDIRECT("RiskResid_"&amp;DocumentLanguage),MATCH(tbl_Risks[[#This Row],[Niveau Risque Inhérent
Inherent Risk Level]], INDIRECT("niv_risk_"&amp;DocumentLanguage), 0),MATCH(tbl_Risks[[#This Row],[Efficacité finale
Final efficiency]], INDIRECT("effglob_"&amp;DocumentLanguage), 0))</f>
        <v>#N/A</v>
      </c>
    </row>
    <row r="96" spans="1:19">
      <c r="A96" s="38"/>
      <c r="B96" s="38"/>
      <c r="C96" s="39" t="e" cm="1">
        <f t="array" aca="1" ref="C96" ca="1">INDIRECT("tbl_REF_Risques_TDSI[@[Risk Scenario Title "&amp;DocumentLanguage&amp;"]]")</f>
        <v>#REF!</v>
      </c>
      <c r="D96" s="39" t="e" cm="1">
        <f t="array" aca="1" ref="D96" ca="1">INDIRECT("tbl_REF_Risques_TDSI[@[Risk Scenario Description "&amp;DocumentLanguage&amp;"]]")</f>
        <v>#REF!</v>
      </c>
      <c r="E96" s="41"/>
      <c r="F96" s="39"/>
      <c r="G96" s="39"/>
      <c r="H96" s="39"/>
      <c r="I96" s="1" t="str" cm="1">
        <f t="array" aca="1" ref="I96"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96" s="39" t="e" cm="1">
        <f t="array" aca="1" ref="J96" ca="1">INDIRECT("tbl_REF_Risques_TDSI[@[Taxo Cause "&amp;DocumentLanguage&amp;"]]")</f>
        <v>#REF!</v>
      </c>
      <c r="K96" s="39" t="e" cm="1">
        <f t="array" aca="1" ref="K96" ca="1">INDIRECT("tbl_REF_Risques_TDSI[@[Taxo Risk "&amp;DocumentLanguage&amp;"]]")</f>
        <v>#REF!</v>
      </c>
      <c r="L96" s="39" t="e" cm="1">
        <f t="array" aca="1" ref="L96" ca="1">INDIRECT("tbl_REF_Risques_TDSI[@[Taxo Impact "&amp;DocumentLanguage&amp;"]]")</f>
        <v>#REF!</v>
      </c>
      <c r="M96" s="49"/>
      <c r="N96" s="63" t="e" cm="1">
        <f t="array" aca="1" ref="N96"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96" s="38" t="e" cm="1">
        <f t="array" aca="1" ref="O96" ca="1">_xlfn.LET(
 _xlpm.raw,_xlfn.TEXTSPLIT(M96,CHAR(10)),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96" s="38"/>
      <c r="Q96" s="10" t="e">
        <f ca="1">INDEX(INDIRECT("RiskResid_"&amp;DocumentLanguage),MATCH(tbl_Risks[[#This Row],[Niveau Risque Inhérent
Inherent Risk Level]], INDIRECT("niv_risk_"&amp;DocumentLanguage), 0),MATCH(tbl_Risks[[#This Row],[Efficacité globale 
Global efficiency]], INDIRECT("effglob_"&amp;DocumentLanguage), 0))</f>
        <v>#N/A</v>
      </c>
      <c r="R96" s="38"/>
      <c r="S96" s="10" t="e">
        <f ca="1">INDEX(INDIRECT("RiskResid_"&amp;DocumentLanguage),MATCH(tbl_Risks[[#This Row],[Niveau Risque Inhérent
Inherent Risk Level]], INDIRECT("niv_risk_"&amp;DocumentLanguage), 0),MATCH(tbl_Risks[[#This Row],[Efficacité finale
Final efficiency]], INDIRECT("effglob_"&amp;DocumentLanguage), 0))</f>
        <v>#N/A</v>
      </c>
    </row>
    <row r="97" spans="1:19">
      <c r="A97" s="38"/>
      <c r="B97" s="38"/>
      <c r="C97" s="39" t="e" cm="1">
        <f t="array" aca="1" ref="C97" ca="1">INDIRECT("tbl_REF_Risques_TDSI[@[Risk Scenario Title "&amp;DocumentLanguage&amp;"]]")</f>
        <v>#REF!</v>
      </c>
      <c r="D97" s="39" t="e" cm="1">
        <f t="array" aca="1" ref="D97" ca="1">INDIRECT("tbl_REF_Risques_TDSI[@[Risk Scenario Description "&amp;DocumentLanguage&amp;"]]")</f>
        <v>#REF!</v>
      </c>
      <c r="E97" s="41"/>
      <c r="F97" s="39"/>
      <c r="G97" s="39"/>
      <c r="H97" s="39"/>
      <c r="I97" s="1" t="str" cm="1">
        <f t="array" aca="1" ref="I97"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97" s="39" t="e" cm="1">
        <f t="array" aca="1" ref="J97" ca="1">INDIRECT("tbl_REF_Risques_TDSI[@[Taxo Cause "&amp;DocumentLanguage&amp;"]]")</f>
        <v>#REF!</v>
      </c>
      <c r="K97" s="39" t="e" cm="1">
        <f t="array" aca="1" ref="K97" ca="1">INDIRECT("tbl_REF_Risques_TDSI[@[Taxo Risk "&amp;DocumentLanguage&amp;"]]")</f>
        <v>#REF!</v>
      </c>
      <c r="L97" s="39" t="e" cm="1">
        <f t="array" aca="1" ref="L97" ca="1">INDIRECT("tbl_REF_Risques_TDSI[@[Taxo Impact "&amp;DocumentLanguage&amp;"]]")</f>
        <v>#REF!</v>
      </c>
      <c r="M97" s="49"/>
      <c r="N97" s="63" t="e" cm="1">
        <f t="array" aca="1" ref="N97"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97" s="38" t="e" cm="1">
        <f t="array" aca="1" ref="O97" ca="1">_xlfn.LET(
 _xlpm.raw,_xlfn.TEXTSPLIT(M97,CHAR(10)),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97" s="38"/>
      <c r="Q97" s="10" t="e">
        <f ca="1">INDEX(INDIRECT("RiskResid_"&amp;DocumentLanguage),MATCH(tbl_Risks[[#This Row],[Niveau Risque Inhérent
Inherent Risk Level]], INDIRECT("niv_risk_"&amp;DocumentLanguage), 0),MATCH(tbl_Risks[[#This Row],[Efficacité globale 
Global efficiency]], INDIRECT("effglob_"&amp;DocumentLanguage), 0))</f>
        <v>#N/A</v>
      </c>
      <c r="R97" s="38"/>
      <c r="S97" s="10" t="e">
        <f ca="1">INDEX(INDIRECT("RiskResid_"&amp;DocumentLanguage),MATCH(tbl_Risks[[#This Row],[Niveau Risque Inhérent
Inherent Risk Level]], INDIRECT("niv_risk_"&amp;DocumentLanguage), 0),MATCH(tbl_Risks[[#This Row],[Efficacité finale
Final efficiency]], INDIRECT("effglob_"&amp;DocumentLanguage), 0))</f>
        <v>#N/A</v>
      </c>
    </row>
    <row r="98" spans="1:19">
      <c r="A98" s="38"/>
      <c r="B98" s="38"/>
      <c r="C98" s="39" t="e" cm="1">
        <f t="array" aca="1" ref="C98" ca="1">INDIRECT("tbl_REF_Risques_TDSI[@[Risk Scenario Title "&amp;DocumentLanguage&amp;"]]")</f>
        <v>#REF!</v>
      </c>
      <c r="D98" s="39" t="e" cm="1">
        <f t="array" aca="1" ref="D98" ca="1">INDIRECT("tbl_REF_Risques_TDSI[@[Risk Scenario Description "&amp;DocumentLanguage&amp;"]]")</f>
        <v>#REF!</v>
      </c>
      <c r="E98" s="41"/>
      <c r="F98" s="39"/>
      <c r="G98" s="39"/>
      <c r="H98" s="39"/>
      <c r="I98" s="1" t="str" cm="1">
        <f t="array" aca="1" ref="I98"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98" s="39" t="e" cm="1">
        <f t="array" aca="1" ref="J98" ca="1">INDIRECT("tbl_REF_Risques_TDSI[@[Taxo Cause "&amp;DocumentLanguage&amp;"]]")</f>
        <v>#REF!</v>
      </c>
      <c r="K98" s="39" t="e" cm="1">
        <f t="array" aca="1" ref="K98" ca="1">INDIRECT("tbl_REF_Risques_TDSI[@[Taxo Risk "&amp;DocumentLanguage&amp;"]]")</f>
        <v>#REF!</v>
      </c>
      <c r="L98" s="39" t="e" cm="1">
        <f t="array" aca="1" ref="L98" ca="1">INDIRECT("tbl_REF_Risques_TDSI[@[Taxo Impact "&amp;DocumentLanguage&amp;"]]")</f>
        <v>#REF!</v>
      </c>
      <c r="M98" s="49"/>
      <c r="N98" s="63" t="e" cm="1">
        <f t="array" aca="1" ref="N98"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98" s="38" t="e" cm="1">
        <f t="array" aca="1" ref="O98" ca="1">_xlfn.LET(
 _xlpm.raw,_xlfn.TEXTSPLIT(M98,CHAR(10)),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98" s="38"/>
      <c r="Q98" s="10" t="e">
        <f ca="1">INDEX(INDIRECT("RiskResid_"&amp;DocumentLanguage),MATCH(tbl_Risks[[#This Row],[Niveau Risque Inhérent
Inherent Risk Level]], INDIRECT("niv_risk_"&amp;DocumentLanguage), 0),MATCH(tbl_Risks[[#This Row],[Efficacité globale 
Global efficiency]], INDIRECT("effglob_"&amp;DocumentLanguage), 0))</f>
        <v>#N/A</v>
      </c>
      <c r="R98" s="38"/>
      <c r="S98" s="10" t="e">
        <f ca="1">INDEX(INDIRECT("RiskResid_"&amp;DocumentLanguage),MATCH(tbl_Risks[[#This Row],[Niveau Risque Inhérent
Inherent Risk Level]], INDIRECT("niv_risk_"&amp;DocumentLanguage), 0),MATCH(tbl_Risks[[#This Row],[Efficacité finale
Final efficiency]], INDIRECT("effglob_"&amp;DocumentLanguage), 0))</f>
        <v>#N/A</v>
      </c>
    </row>
    <row r="99" spans="1:19">
      <c r="A99" s="38"/>
      <c r="B99" s="38"/>
      <c r="C99" s="39" t="e" cm="1">
        <f t="array" aca="1" ref="C99" ca="1">INDIRECT("tbl_REF_Risques_TDSI[@[Risk Scenario Title "&amp;DocumentLanguage&amp;"]]")</f>
        <v>#REF!</v>
      </c>
      <c r="D99" s="39" t="e" cm="1">
        <f t="array" aca="1" ref="D99" ca="1">INDIRECT("tbl_REF_Risques_TDSI[@[Risk Scenario Description "&amp;DocumentLanguage&amp;"]]")</f>
        <v>#REF!</v>
      </c>
      <c r="E99" s="41"/>
      <c r="F99" s="39"/>
      <c r="G99" s="39"/>
      <c r="H99" s="39"/>
      <c r="I99" s="1" t="str" cm="1">
        <f t="array" aca="1" ref="I99"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99" s="39" t="e" cm="1">
        <f t="array" aca="1" ref="J99" ca="1">INDIRECT("tbl_REF_Risques_TDSI[@[Taxo Cause "&amp;DocumentLanguage&amp;"]]")</f>
        <v>#REF!</v>
      </c>
      <c r="K99" s="39" t="e" cm="1">
        <f t="array" aca="1" ref="K99" ca="1">INDIRECT("tbl_REF_Risques_TDSI[@[Taxo Risk "&amp;DocumentLanguage&amp;"]]")</f>
        <v>#REF!</v>
      </c>
      <c r="L99" s="39" t="e" cm="1">
        <f t="array" aca="1" ref="L99" ca="1">INDIRECT("tbl_REF_Risques_TDSI[@[Taxo Impact "&amp;DocumentLanguage&amp;"]]")</f>
        <v>#REF!</v>
      </c>
      <c r="M99" s="49"/>
      <c r="N99" s="63" t="e" cm="1">
        <f t="array" aca="1" ref="N99"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99" s="38" t="e" cm="1">
        <f t="array" aca="1" ref="O99" ca="1">_xlfn.LET(
 _xlpm.raw,_xlfn.TEXTSPLIT(M99,CHAR(10)),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99" s="38"/>
      <c r="Q99" s="10" t="e">
        <f ca="1">INDEX(INDIRECT("RiskResid_"&amp;DocumentLanguage),MATCH(tbl_Risks[[#This Row],[Niveau Risque Inhérent
Inherent Risk Level]], INDIRECT("niv_risk_"&amp;DocumentLanguage), 0),MATCH(tbl_Risks[[#This Row],[Efficacité globale 
Global efficiency]], INDIRECT("effglob_"&amp;DocumentLanguage), 0))</f>
        <v>#N/A</v>
      </c>
      <c r="R99" s="38"/>
      <c r="S99" s="10" t="e">
        <f ca="1">INDEX(INDIRECT("RiskResid_"&amp;DocumentLanguage),MATCH(tbl_Risks[[#This Row],[Niveau Risque Inhérent
Inherent Risk Level]], INDIRECT("niv_risk_"&amp;DocumentLanguage), 0),MATCH(tbl_Risks[[#This Row],[Efficacité finale
Final efficiency]], INDIRECT("effglob_"&amp;DocumentLanguage), 0))</f>
        <v>#N/A</v>
      </c>
    </row>
    <row r="100" spans="1:19">
      <c r="A100" s="38"/>
      <c r="B100" s="38"/>
      <c r="C100" s="39" t="e" cm="1">
        <f t="array" aca="1" ref="C100" ca="1">INDIRECT("tbl_REF_Risques_TDSI[@[Risk Scenario Title "&amp;DocumentLanguage&amp;"]]")</f>
        <v>#REF!</v>
      </c>
      <c r="D100" s="39" t="e" cm="1">
        <f t="array" aca="1" ref="D100" ca="1">INDIRECT("tbl_REF_Risques_TDSI[@[Risk Scenario Description "&amp;DocumentLanguage&amp;"]]")</f>
        <v>#REF!</v>
      </c>
      <c r="E100" s="41"/>
      <c r="F100" s="39"/>
      <c r="G100" s="39"/>
      <c r="H100" s="39"/>
      <c r="I100" s="1" t="str" cm="1">
        <f t="array" aca="1" ref="I100"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00" s="39" t="e" cm="1">
        <f t="array" aca="1" ref="J100" ca="1">INDIRECT("tbl_REF_Risques_TDSI[@[Taxo Cause "&amp;DocumentLanguage&amp;"]]")</f>
        <v>#REF!</v>
      </c>
      <c r="K100" s="39" t="e" cm="1">
        <f t="array" aca="1" ref="K100" ca="1">INDIRECT("tbl_REF_Risques_TDSI[@[Taxo Risk "&amp;DocumentLanguage&amp;"]]")</f>
        <v>#REF!</v>
      </c>
      <c r="L100" s="39" t="e" cm="1">
        <f t="array" aca="1" ref="L100" ca="1">INDIRECT("tbl_REF_Risques_TDSI[@[Taxo Impact "&amp;DocumentLanguage&amp;"]]")</f>
        <v>#REF!</v>
      </c>
      <c r="M100" s="49"/>
      <c r="N100" s="63" t="e" cm="1">
        <f t="array" aca="1" ref="N100"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00" s="38" t="e" cm="1">
        <f t="array" aca="1" ref="O100" ca="1">_xlfn.LET(
 _xlpm.raw,_xlfn.TEXTSPLIT(M100,CHAR(10)),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00" s="38"/>
      <c r="Q100" s="10" t="e">
        <f ca="1">INDEX(INDIRECT("RiskResid_"&amp;DocumentLanguage),MATCH(tbl_Risks[[#This Row],[Niveau Risque Inhérent
Inherent Risk Level]], INDIRECT("niv_risk_"&amp;DocumentLanguage), 0),MATCH(tbl_Risks[[#This Row],[Efficacité globale 
Global efficiency]], INDIRECT("effglob_"&amp;DocumentLanguage), 0))</f>
        <v>#N/A</v>
      </c>
      <c r="R100" s="38"/>
      <c r="S100" s="10" t="e">
        <f ca="1">INDEX(INDIRECT("RiskResid_"&amp;DocumentLanguage),MATCH(tbl_Risks[[#This Row],[Niveau Risque Inhérent
Inherent Risk Level]], INDIRECT("niv_risk_"&amp;DocumentLanguage), 0),MATCH(tbl_Risks[[#This Row],[Efficacité finale
Final efficiency]], INDIRECT("effglob_"&amp;DocumentLanguage), 0))</f>
        <v>#N/A</v>
      </c>
    </row>
    <row r="101" spans="1:19">
      <c r="A101" s="38"/>
      <c r="B101" s="38"/>
      <c r="C101" s="39" t="e" cm="1">
        <f t="array" aca="1" ref="C101" ca="1">INDIRECT("tbl_REF_Risques_TDSI[@[Risk Scenario Title "&amp;DocumentLanguage&amp;"]]")</f>
        <v>#REF!</v>
      </c>
      <c r="D101" s="39" t="e" cm="1">
        <f t="array" aca="1" ref="D101" ca="1">INDIRECT("tbl_REF_Risques_TDSI[@[Risk Scenario Description "&amp;DocumentLanguage&amp;"]]")</f>
        <v>#REF!</v>
      </c>
      <c r="E101" s="41"/>
      <c r="F101" s="39"/>
      <c r="G101" s="39"/>
      <c r="H101" s="39"/>
      <c r="I101" s="1" t="str" cm="1">
        <f t="array" aca="1" ref="I101"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01" s="39" t="e" cm="1">
        <f t="array" aca="1" ref="J101" ca="1">INDIRECT("tbl_REF_Risques_TDSI[@[Taxo Cause "&amp;DocumentLanguage&amp;"]]")</f>
        <v>#REF!</v>
      </c>
      <c r="K101" s="39" t="e" cm="1">
        <f t="array" aca="1" ref="K101" ca="1">INDIRECT("tbl_REF_Risques_TDSI[@[Taxo Risk "&amp;DocumentLanguage&amp;"]]")</f>
        <v>#REF!</v>
      </c>
      <c r="L101" s="39" t="e" cm="1">
        <f t="array" aca="1" ref="L101" ca="1">INDIRECT("tbl_REF_Risques_TDSI[@[Taxo Impact "&amp;DocumentLanguage&amp;"]]")</f>
        <v>#REF!</v>
      </c>
      <c r="M101" s="49"/>
      <c r="N101" s="63" t="e" cm="1">
        <f t="array" aca="1" ref="N101"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01" s="38" t="e" cm="1">
        <f t="array" aca="1" ref="O101" ca="1">_xlfn.LET(
 _xlpm.raw,_xlfn.TEXTSPLIT(M101,CHAR(10)),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01" s="38"/>
      <c r="Q101" s="10" t="e">
        <f ca="1">INDEX(INDIRECT("RiskResid_"&amp;DocumentLanguage),MATCH(tbl_Risks[[#This Row],[Niveau Risque Inhérent
Inherent Risk Level]], INDIRECT("niv_risk_"&amp;DocumentLanguage), 0),MATCH(tbl_Risks[[#This Row],[Efficacité globale 
Global efficiency]], INDIRECT("effglob_"&amp;DocumentLanguage), 0))</f>
        <v>#N/A</v>
      </c>
      <c r="R101" s="38"/>
      <c r="S101" s="10" t="e">
        <f ca="1">INDEX(INDIRECT("RiskResid_"&amp;DocumentLanguage),MATCH(tbl_Risks[[#This Row],[Niveau Risque Inhérent
Inherent Risk Level]], INDIRECT("niv_risk_"&amp;DocumentLanguage), 0),MATCH(tbl_Risks[[#This Row],[Efficacité finale
Final efficiency]], INDIRECT("effglob_"&amp;DocumentLanguage), 0))</f>
        <v>#N/A</v>
      </c>
    </row>
    <row r="102" spans="1:19">
      <c r="A102" s="38"/>
      <c r="B102" s="38"/>
      <c r="C102" s="39" t="e" cm="1">
        <f t="array" aca="1" ref="C102" ca="1">INDIRECT("tbl_REF_Risques_TDSI[@[Risk Scenario Title "&amp;DocumentLanguage&amp;"]]")</f>
        <v>#REF!</v>
      </c>
      <c r="D102" s="39" t="e" cm="1">
        <f t="array" aca="1" ref="D102" ca="1">INDIRECT("tbl_REF_Risques_TDSI[@[Risk Scenario Description "&amp;DocumentLanguage&amp;"]]")</f>
        <v>#REF!</v>
      </c>
      <c r="E102" s="41"/>
      <c r="F102" s="39"/>
      <c r="G102" s="39"/>
      <c r="H102" s="39"/>
      <c r="I102" s="1" t="str" cm="1">
        <f t="array" aca="1" ref="I102"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02" s="39" t="e" cm="1">
        <f t="array" aca="1" ref="J102" ca="1">INDIRECT("tbl_REF_Risques_TDSI[@[Taxo Cause "&amp;DocumentLanguage&amp;"]]")</f>
        <v>#REF!</v>
      </c>
      <c r="K102" s="39" t="e" cm="1">
        <f t="array" aca="1" ref="K102" ca="1">INDIRECT("tbl_REF_Risques_TDSI[@[Taxo Risk "&amp;DocumentLanguage&amp;"]]")</f>
        <v>#REF!</v>
      </c>
      <c r="L102" s="39" t="e" cm="1">
        <f t="array" aca="1" ref="L102" ca="1">INDIRECT("tbl_REF_Risques_TDSI[@[Taxo Impact "&amp;DocumentLanguage&amp;"]]")</f>
        <v>#REF!</v>
      </c>
      <c r="M102" s="49"/>
      <c r="N102" s="63" t="e" cm="1">
        <f t="array" aca="1" ref="N102"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02" s="38" t="e" cm="1">
        <f t="array" aca="1" ref="O102" ca="1">_xlfn.LET(
 _xlpm.raw,_xlfn.TEXTSPLIT(M102,CHAR(10)),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02" s="38"/>
      <c r="Q102" s="10" t="e">
        <f ca="1">INDEX(INDIRECT("RiskResid_"&amp;DocumentLanguage),MATCH(tbl_Risks[[#This Row],[Niveau Risque Inhérent
Inherent Risk Level]], INDIRECT("niv_risk_"&amp;DocumentLanguage), 0),MATCH(tbl_Risks[[#This Row],[Efficacité globale 
Global efficiency]], INDIRECT("effglob_"&amp;DocumentLanguage), 0))</f>
        <v>#N/A</v>
      </c>
      <c r="R102" s="38"/>
      <c r="S102" s="10" t="e">
        <f ca="1">INDEX(INDIRECT("RiskResid_"&amp;DocumentLanguage),MATCH(tbl_Risks[[#This Row],[Niveau Risque Inhérent
Inherent Risk Level]], INDIRECT("niv_risk_"&amp;DocumentLanguage), 0),MATCH(tbl_Risks[[#This Row],[Efficacité finale
Final efficiency]], INDIRECT("effglob_"&amp;DocumentLanguage), 0))</f>
        <v>#N/A</v>
      </c>
    </row>
    <row r="103" spans="1:19">
      <c r="A103" s="38"/>
      <c r="B103" s="38"/>
      <c r="C103" s="39" t="e" cm="1">
        <f t="array" aca="1" ref="C103" ca="1">INDIRECT("tbl_REF_Risques_TDSI[@[Risk Scenario Title "&amp;DocumentLanguage&amp;"]]")</f>
        <v>#REF!</v>
      </c>
      <c r="D103" s="39" t="e" cm="1">
        <f t="array" aca="1" ref="D103" ca="1">INDIRECT("tbl_REF_Risques_TDSI[@[Risk Scenario Description "&amp;DocumentLanguage&amp;"]]")</f>
        <v>#REF!</v>
      </c>
      <c r="E103" s="41"/>
      <c r="F103" s="39"/>
      <c r="G103" s="39"/>
      <c r="H103" s="39"/>
      <c r="I103" s="1" t="str" cm="1">
        <f t="array" aca="1" ref="I103"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03" s="39" t="e" cm="1">
        <f t="array" aca="1" ref="J103" ca="1">INDIRECT("tbl_REF_Risques_TDSI[@[Taxo Cause "&amp;DocumentLanguage&amp;"]]")</f>
        <v>#REF!</v>
      </c>
      <c r="K103" s="39" t="e" cm="1">
        <f t="array" aca="1" ref="K103" ca="1">INDIRECT("tbl_REF_Risques_TDSI[@[Taxo Risk "&amp;DocumentLanguage&amp;"]]")</f>
        <v>#REF!</v>
      </c>
      <c r="L103" s="39" t="e" cm="1">
        <f t="array" aca="1" ref="L103" ca="1">INDIRECT("tbl_REF_Risques_TDSI[@[Taxo Impact "&amp;DocumentLanguage&amp;"]]")</f>
        <v>#REF!</v>
      </c>
      <c r="M103" s="49"/>
      <c r="N103" s="63" t="e" cm="1">
        <f t="array" aca="1" ref="N103"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03" s="38" t="e" cm="1">
        <f t="array" aca="1" ref="O103" ca="1">_xlfn.LET(
 _xlpm.raw,_xlfn.TEXTSPLIT(M103,CHAR(10)),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03" s="38"/>
      <c r="Q103" s="10" t="e">
        <f ca="1">INDEX(INDIRECT("RiskResid_"&amp;DocumentLanguage),MATCH(tbl_Risks[[#This Row],[Niveau Risque Inhérent
Inherent Risk Level]], INDIRECT("niv_risk_"&amp;DocumentLanguage), 0),MATCH(tbl_Risks[[#This Row],[Efficacité globale 
Global efficiency]], INDIRECT("effglob_"&amp;DocumentLanguage), 0))</f>
        <v>#N/A</v>
      </c>
      <c r="R103" s="38"/>
      <c r="S103" s="10" t="e">
        <f ca="1">INDEX(INDIRECT("RiskResid_"&amp;DocumentLanguage),MATCH(tbl_Risks[[#This Row],[Niveau Risque Inhérent
Inherent Risk Level]], INDIRECT("niv_risk_"&amp;DocumentLanguage), 0),MATCH(tbl_Risks[[#This Row],[Efficacité finale
Final efficiency]], INDIRECT("effglob_"&amp;DocumentLanguage), 0))</f>
        <v>#N/A</v>
      </c>
    </row>
    <row r="104" spans="1:19">
      <c r="A104" s="38"/>
      <c r="B104" s="38"/>
      <c r="C104" s="39" t="e" cm="1">
        <f t="array" aca="1" ref="C104" ca="1">INDIRECT("tbl_REF_Risques_TDSI[@[Risk Scenario Title "&amp;DocumentLanguage&amp;"]]")</f>
        <v>#REF!</v>
      </c>
      <c r="D104" s="39" t="e" cm="1">
        <f t="array" aca="1" ref="D104" ca="1">INDIRECT("tbl_REF_Risques_TDSI[@[Risk Scenario Description "&amp;DocumentLanguage&amp;"]]")</f>
        <v>#REF!</v>
      </c>
      <c r="E104" s="41"/>
      <c r="F104" s="39"/>
      <c r="G104" s="39"/>
      <c r="H104" s="39"/>
      <c r="I104" s="1" t="str" cm="1">
        <f t="array" aca="1" ref="I104"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04" s="39" t="e" cm="1">
        <f t="array" aca="1" ref="J104" ca="1">INDIRECT("tbl_REF_Risques_TDSI[@[Taxo Cause "&amp;DocumentLanguage&amp;"]]")</f>
        <v>#REF!</v>
      </c>
      <c r="K104" s="39" t="e" cm="1">
        <f t="array" aca="1" ref="K104" ca="1">INDIRECT("tbl_REF_Risques_TDSI[@[Taxo Risk "&amp;DocumentLanguage&amp;"]]")</f>
        <v>#REF!</v>
      </c>
      <c r="L104" s="39" t="e" cm="1">
        <f t="array" aca="1" ref="L104" ca="1">INDIRECT("tbl_REF_Risques_TDSI[@[Taxo Impact "&amp;DocumentLanguage&amp;"]]")</f>
        <v>#REF!</v>
      </c>
      <c r="M104" s="49"/>
      <c r="N104" s="63" t="e" cm="1">
        <f t="array" aca="1" ref="N104"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04" s="38" t="e" cm="1">
        <f t="array" aca="1" ref="O104" ca="1">_xlfn.LET(
 _xlpm.raw,_xlfn.TEXTSPLIT(M104,CHAR(10)),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04" s="38"/>
      <c r="Q104" s="10" t="e">
        <f ca="1">INDEX(INDIRECT("RiskResid_"&amp;DocumentLanguage),MATCH(tbl_Risks[[#This Row],[Niveau Risque Inhérent
Inherent Risk Level]], INDIRECT("niv_risk_"&amp;DocumentLanguage), 0),MATCH(tbl_Risks[[#This Row],[Efficacité globale 
Global efficiency]], INDIRECT("effglob_"&amp;DocumentLanguage), 0))</f>
        <v>#N/A</v>
      </c>
      <c r="R104" s="38"/>
      <c r="S104" s="10" t="e">
        <f ca="1">INDEX(INDIRECT("RiskResid_"&amp;DocumentLanguage),MATCH(tbl_Risks[[#This Row],[Niveau Risque Inhérent
Inherent Risk Level]], INDIRECT("niv_risk_"&amp;DocumentLanguage), 0),MATCH(tbl_Risks[[#This Row],[Efficacité finale
Final efficiency]], INDIRECT("effglob_"&amp;DocumentLanguage), 0))</f>
        <v>#N/A</v>
      </c>
    </row>
    <row r="105" spans="1:19">
      <c r="A105" s="38"/>
      <c r="B105" s="38"/>
      <c r="C105" s="39" t="e" cm="1">
        <f t="array" aca="1" ref="C105" ca="1">INDIRECT("tbl_REF_Risques_TDSI[@[Risk Scenario Title "&amp;DocumentLanguage&amp;"]]")</f>
        <v>#REF!</v>
      </c>
      <c r="D105" s="39" t="e" cm="1">
        <f t="array" aca="1" ref="D105" ca="1">INDIRECT("tbl_REF_Risques_TDSI[@[Risk Scenario Description "&amp;DocumentLanguage&amp;"]]")</f>
        <v>#REF!</v>
      </c>
      <c r="E105" s="41"/>
      <c r="F105" s="39"/>
      <c r="G105" s="39"/>
      <c r="H105" s="39"/>
      <c r="I105" s="1" t="str" cm="1">
        <f t="array" aca="1" ref="I105"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05" s="39" t="e" cm="1">
        <f t="array" aca="1" ref="J105" ca="1">INDIRECT("tbl_REF_Risques_TDSI[@[Taxo Cause "&amp;DocumentLanguage&amp;"]]")</f>
        <v>#REF!</v>
      </c>
      <c r="K105" s="39" t="e" cm="1">
        <f t="array" aca="1" ref="K105" ca="1">INDIRECT("tbl_REF_Risques_TDSI[@[Taxo Risk "&amp;DocumentLanguage&amp;"]]")</f>
        <v>#REF!</v>
      </c>
      <c r="L105" s="39" t="e" cm="1">
        <f t="array" aca="1" ref="L105" ca="1">INDIRECT("tbl_REF_Risques_TDSI[@[Taxo Impact "&amp;DocumentLanguage&amp;"]]")</f>
        <v>#REF!</v>
      </c>
      <c r="M105" s="49"/>
      <c r="N105" s="63" t="e" cm="1">
        <f t="array" aca="1" ref="N105"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05" s="38" t="e" cm="1">
        <f t="array" aca="1" ref="O105" ca="1">_xlfn.LET(
 _xlpm.raw,_xlfn.TEXTSPLIT(M105,CHAR(10)),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05" s="38"/>
      <c r="Q105" s="10" t="e">
        <f ca="1">INDEX(INDIRECT("RiskResid_"&amp;DocumentLanguage),MATCH(tbl_Risks[[#This Row],[Niveau Risque Inhérent
Inherent Risk Level]], INDIRECT("niv_risk_"&amp;DocumentLanguage), 0),MATCH(tbl_Risks[[#This Row],[Efficacité globale 
Global efficiency]], INDIRECT("effglob_"&amp;DocumentLanguage), 0))</f>
        <v>#N/A</v>
      </c>
      <c r="R105" s="38"/>
      <c r="S105" s="10" t="e">
        <f ca="1">INDEX(INDIRECT("RiskResid_"&amp;DocumentLanguage),MATCH(tbl_Risks[[#This Row],[Niveau Risque Inhérent
Inherent Risk Level]], INDIRECT("niv_risk_"&amp;DocumentLanguage), 0),MATCH(tbl_Risks[[#This Row],[Efficacité finale
Final efficiency]], INDIRECT("effglob_"&amp;DocumentLanguage), 0))</f>
        <v>#N/A</v>
      </c>
    </row>
    <row r="106" spans="1:19">
      <c r="A106" s="38"/>
      <c r="B106" s="38"/>
      <c r="C106" s="39" t="e" cm="1">
        <f t="array" aca="1" ref="C106" ca="1">INDIRECT("tbl_REF_Risques_TDSI[@[Risk Scenario Title "&amp;DocumentLanguage&amp;"]]")</f>
        <v>#REF!</v>
      </c>
      <c r="D106" s="39" t="e" cm="1">
        <f t="array" aca="1" ref="D106" ca="1">INDIRECT("tbl_REF_Risques_TDSI[@[Risk Scenario Description "&amp;DocumentLanguage&amp;"]]")</f>
        <v>#REF!</v>
      </c>
      <c r="E106" s="41"/>
      <c r="F106" s="39"/>
      <c r="G106" s="39"/>
      <c r="H106" s="39"/>
      <c r="I106" s="1" t="str" cm="1">
        <f t="array" aca="1" ref="I106"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06" s="39" t="e" cm="1">
        <f t="array" aca="1" ref="J106" ca="1">INDIRECT("tbl_REF_Risques_TDSI[@[Taxo Cause "&amp;DocumentLanguage&amp;"]]")</f>
        <v>#REF!</v>
      </c>
      <c r="K106" s="39" t="e" cm="1">
        <f t="array" aca="1" ref="K106" ca="1">INDIRECT("tbl_REF_Risques_TDSI[@[Taxo Risk "&amp;DocumentLanguage&amp;"]]")</f>
        <v>#REF!</v>
      </c>
      <c r="L106" s="39" t="e" cm="1">
        <f t="array" aca="1" ref="L106" ca="1">INDIRECT("tbl_REF_Risques_TDSI[@[Taxo Impact "&amp;DocumentLanguage&amp;"]]")</f>
        <v>#REF!</v>
      </c>
      <c r="M106" s="49"/>
      <c r="N106" s="63" t="e" cm="1">
        <f t="array" aca="1" ref="N106"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06" s="38" t="e" cm="1">
        <f t="array" aca="1" ref="O106" ca="1">_xlfn.LET(
 _xlpm.raw,_xlfn.TEXTSPLIT(M106,CHAR(10)),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06" s="38"/>
      <c r="Q106" s="10" t="e">
        <f ca="1">INDEX(INDIRECT("RiskResid_"&amp;DocumentLanguage),MATCH(tbl_Risks[[#This Row],[Niveau Risque Inhérent
Inherent Risk Level]], INDIRECT("niv_risk_"&amp;DocumentLanguage), 0),MATCH(tbl_Risks[[#This Row],[Efficacité globale 
Global efficiency]], INDIRECT("effglob_"&amp;DocumentLanguage), 0))</f>
        <v>#N/A</v>
      </c>
      <c r="R106" s="38"/>
      <c r="S106" s="10" t="e">
        <f ca="1">INDEX(INDIRECT("RiskResid_"&amp;DocumentLanguage),MATCH(tbl_Risks[[#This Row],[Niveau Risque Inhérent
Inherent Risk Level]], INDIRECT("niv_risk_"&amp;DocumentLanguage), 0),MATCH(tbl_Risks[[#This Row],[Efficacité finale
Final efficiency]], INDIRECT("effglob_"&amp;DocumentLanguage), 0))</f>
        <v>#N/A</v>
      </c>
    </row>
    <row r="107" spans="1:19">
      <c r="A107" s="38"/>
      <c r="B107" s="38"/>
      <c r="C107" s="39" t="e" cm="1">
        <f t="array" aca="1" ref="C107" ca="1">INDIRECT("tbl_REF_Risques_TDSI[@[Risk Scenario Title "&amp;DocumentLanguage&amp;"]]")</f>
        <v>#REF!</v>
      </c>
      <c r="D107" s="39" t="e" cm="1">
        <f t="array" aca="1" ref="D107" ca="1">INDIRECT("tbl_REF_Risques_TDSI[@[Risk Scenario Description "&amp;DocumentLanguage&amp;"]]")</f>
        <v>#REF!</v>
      </c>
      <c r="E107" s="41"/>
      <c r="F107" s="39"/>
      <c r="G107" s="39"/>
      <c r="H107" s="39"/>
      <c r="I107" s="1" t="str" cm="1">
        <f t="array" aca="1" ref="I107"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07" s="39" t="e" cm="1">
        <f t="array" aca="1" ref="J107" ca="1">INDIRECT("tbl_REF_Risques_TDSI[@[Taxo Cause "&amp;DocumentLanguage&amp;"]]")</f>
        <v>#REF!</v>
      </c>
      <c r="K107" s="39" t="e" cm="1">
        <f t="array" aca="1" ref="K107" ca="1">INDIRECT("tbl_REF_Risques_TDSI[@[Taxo Risk "&amp;DocumentLanguage&amp;"]]")</f>
        <v>#REF!</v>
      </c>
      <c r="L107" s="39" t="e" cm="1">
        <f t="array" aca="1" ref="L107" ca="1">INDIRECT("tbl_REF_Risques_TDSI[@[Taxo Impact "&amp;DocumentLanguage&amp;"]]")</f>
        <v>#REF!</v>
      </c>
      <c r="M107" s="49"/>
      <c r="N107" s="63" t="e" cm="1">
        <f t="array" aca="1" ref="N107"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07" s="38" t="e" cm="1">
        <f t="array" aca="1" ref="O107" ca="1">_xlfn.LET(
 _xlpm.raw,_xlfn.TEXTSPLIT(M107,CHAR(10)),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07" s="38"/>
      <c r="Q107" s="10" t="e">
        <f ca="1">INDEX(INDIRECT("RiskResid_"&amp;DocumentLanguage),MATCH(tbl_Risks[[#This Row],[Niveau Risque Inhérent
Inherent Risk Level]], INDIRECT("niv_risk_"&amp;DocumentLanguage), 0),MATCH(tbl_Risks[[#This Row],[Efficacité globale 
Global efficiency]], INDIRECT("effglob_"&amp;DocumentLanguage), 0))</f>
        <v>#N/A</v>
      </c>
      <c r="R107" s="38"/>
      <c r="S107" s="10" t="e">
        <f ca="1">INDEX(INDIRECT("RiskResid_"&amp;DocumentLanguage),MATCH(tbl_Risks[[#This Row],[Niveau Risque Inhérent
Inherent Risk Level]], INDIRECT("niv_risk_"&amp;DocumentLanguage), 0),MATCH(tbl_Risks[[#This Row],[Efficacité finale
Final efficiency]], INDIRECT("effglob_"&amp;DocumentLanguage), 0))</f>
        <v>#N/A</v>
      </c>
    </row>
    <row r="108" spans="1:19">
      <c r="A108" s="38"/>
      <c r="B108" s="38"/>
      <c r="C108" s="39" t="e" cm="1">
        <f t="array" aca="1" ref="C108" ca="1">INDIRECT("tbl_REF_Risques_TDSI[@[Risk Scenario Title "&amp;DocumentLanguage&amp;"]]")</f>
        <v>#REF!</v>
      </c>
      <c r="D108" s="39" t="e" cm="1">
        <f t="array" aca="1" ref="D108" ca="1">INDIRECT("tbl_REF_Risques_TDSI[@[Risk Scenario Description "&amp;DocumentLanguage&amp;"]]")</f>
        <v>#REF!</v>
      </c>
      <c r="E108" s="41"/>
      <c r="F108" s="39"/>
      <c r="G108" s="39"/>
      <c r="H108" s="39"/>
      <c r="I108" s="1" t="str" cm="1">
        <f t="array" aca="1" ref="I108"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08" s="39" t="e" cm="1">
        <f t="array" aca="1" ref="J108" ca="1">INDIRECT("tbl_REF_Risques_TDSI[@[Taxo Cause "&amp;DocumentLanguage&amp;"]]")</f>
        <v>#REF!</v>
      </c>
      <c r="K108" s="39" t="e" cm="1">
        <f t="array" aca="1" ref="K108" ca="1">INDIRECT("tbl_REF_Risques_TDSI[@[Taxo Risk "&amp;DocumentLanguage&amp;"]]")</f>
        <v>#REF!</v>
      </c>
      <c r="L108" s="39" t="e" cm="1">
        <f t="array" aca="1" ref="L108" ca="1">INDIRECT("tbl_REF_Risques_TDSI[@[Taxo Impact "&amp;DocumentLanguage&amp;"]]")</f>
        <v>#REF!</v>
      </c>
      <c r="M108" s="49"/>
      <c r="N108" s="63" t="e" cm="1">
        <f t="array" aca="1" ref="N108"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08" s="38" t="e" cm="1">
        <f t="array" aca="1" ref="O108" ca="1">_xlfn.LET(
 _xlpm.raw,_xlfn.TEXTSPLIT(M108,CHAR(10)),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08" s="38"/>
      <c r="Q108" s="10" t="e">
        <f ca="1">INDEX(INDIRECT("RiskResid_"&amp;DocumentLanguage),MATCH(tbl_Risks[[#This Row],[Niveau Risque Inhérent
Inherent Risk Level]], INDIRECT("niv_risk_"&amp;DocumentLanguage), 0),MATCH(tbl_Risks[[#This Row],[Efficacité globale 
Global efficiency]], INDIRECT("effglob_"&amp;DocumentLanguage), 0))</f>
        <v>#N/A</v>
      </c>
      <c r="R108" s="38"/>
      <c r="S108" s="10" t="e">
        <f ca="1">INDEX(INDIRECT("RiskResid_"&amp;DocumentLanguage),MATCH(tbl_Risks[[#This Row],[Niveau Risque Inhérent
Inherent Risk Level]], INDIRECT("niv_risk_"&amp;DocumentLanguage), 0),MATCH(tbl_Risks[[#This Row],[Efficacité finale
Final efficiency]], INDIRECT("effglob_"&amp;DocumentLanguage), 0))</f>
        <v>#N/A</v>
      </c>
    </row>
    <row r="109" spans="1:19">
      <c r="A109" s="38"/>
      <c r="B109" s="38"/>
      <c r="C109" s="39" t="e" cm="1">
        <f t="array" aca="1" ref="C109" ca="1">INDIRECT("tbl_REF_Risques_TDSI[@[Risk Scenario Title "&amp;DocumentLanguage&amp;"]]")</f>
        <v>#REF!</v>
      </c>
      <c r="D109" s="39" t="e" cm="1">
        <f t="array" aca="1" ref="D109" ca="1">INDIRECT("tbl_REF_Risques_TDSI[@[Risk Scenario Description "&amp;DocumentLanguage&amp;"]]")</f>
        <v>#REF!</v>
      </c>
      <c r="E109" s="41"/>
      <c r="F109" s="39"/>
      <c r="G109" s="39"/>
      <c r="H109" s="39"/>
      <c r="I109" s="1" t="str" cm="1">
        <f t="array" aca="1" ref="I109"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09" s="39" t="e" cm="1">
        <f t="array" aca="1" ref="J109" ca="1">INDIRECT("tbl_REF_Risques_TDSI[@[Taxo Cause "&amp;DocumentLanguage&amp;"]]")</f>
        <v>#REF!</v>
      </c>
      <c r="K109" s="39" t="e" cm="1">
        <f t="array" aca="1" ref="K109" ca="1">INDIRECT("tbl_REF_Risques_TDSI[@[Taxo Risk "&amp;DocumentLanguage&amp;"]]")</f>
        <v>#REF!</v>
      </c>
      <c r="L109" s="39" t="e" cm="1">
        <f t="array" aca="1" ref="L109" ca="1">INDIRECT("tbl_REF_Risques_TDSI[@[Taxo Impact "&amp;DocumentLanguage&amp;"]]")</f>
        <v>#REF!</v>
      </c>
      <c r="M109" s="49"/>
      <c r="N109" s="63" t="e" cm="1">
        <f t="array" aca="1" ref="N109"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09" s="38" t="e" cm="1">
        <f t="array" aca="1" ref="O109" ca="1">_xlfn.LET(
 _xlpm.raw,_xlfn.TEXTSPLIT(M109,CHAR(10)),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09" s="38"/>
      <c r="Q109" s="10" t="e">
        <f ca="1">INDEX(INDIRECT("RiskResid_"&amp;DocumentLanguage),MATCH(tbl_Risks[[#This Row],[Niveau Risque Inhérent
Inherent Risk Level]], INDIRECT("niv_risk_"&amp;DocumentLanguage), 0),MATCH(tbl_Risks[[#This Row],[Efficacité globale 
Global efficiency]], INDIRECT("effglob_"&amp;DocumentLanguage), 0))</f>
        <v>#N/A</v>
      </c>
      <c r="R109" s="38"/>
      <c r="S109" s="10" t="e">
        <f ca="1">INDEX(INDIRECT("RiskResid_"&amp;DocumentLanguage),MATCH(tbl_Risks[[#This Row],[Niveau Risque Inhérent
Inherent Risk Level]], INDIRECT("niv_risk_"&amp;DocumentLanguage), 0),MATCH(tbl_Risks[[#This Row],[Efficacité finale
Final efficiency]], INDIRECT("effglob_"&amp;DocumentLanguage), 0))</f>
        <v>#N/A</v>
      </c>
    </row>
    <row r="110" spans="1:19">
      <c r="A110" s="38"/>
      <c r="B110" s="38"/>
      <c r="C110" s="39" t="e" cm="1">
        <f t="array" aca="1" ref="C110" ca="1">INDIRECT("tbl_REF_Risques_TDSI[@[Risk Scenario Title "&amp;DocumentLanguage&amp;"]]")</f>
        <v>#REF!</v>
      </c>
      <c r="D110" s="39" t="e" cm="1">
        <f t="array" aca="1" ref="D110" ca="1">INDIRECT("tbl_REF_Risques_TDSI[@[Risk Scenario Description "&amp;DocumentLanguage&amp;"]]")</f>
        <v>#REF!</v>
      </c>
      <c r="E110" s="41"/>
      <c r="F110" s="39"/>
      <c r="G110" s="39"/>
      <c r="H110" s="39"/>
      <c r="I110" s="1" t="str" cm="1">
        <f t="array" aca="1" ref="I110"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10" s="39" t="e" cm="1">
        <f t="array" aca="1" ref="J110" ca="1">INDIRECT("tbl_REF_Risques_TDSI[@[Taxo Cause "&amp;DocumentLanguage&amp;"]]")</f>
        <v>#REF!</v>
      </c>
      <c r="K110" s="39" t="e" cm="1">
        <f t="array" aca="1" ref="K110" ca="1">INDIRECT("tbl_REF_Risques_TDSI[@[Taxo Risk "&amp;DocumentLanguage&amp;"]]")</f>
        <v>#REF!</v>
      </c>
      <c r="L110" s="39" t="e" cm="1">
        <f t="array" aca="1" ref="L110" ca="1">INDIRECT("tbl_REF_Risques_TDSI[@[Taxo Impact "&amp;DocumentLanguage&amp;"]]")</f>
        <v>#REF!</v>
      </c>
      <c r="M110" s="49"/>
      <c r="N110" s="63" t="e" cm="1">
        <f t="array" aca="1" ref="N110"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10" s="38" t="e" cm="1">
        <f t="array" aca="1" ref="O110" ca="1">_xlfn.LET(
 _xlpm.raw,_xlfn.TEXTSPLIT(M110,CHAR(10)),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10" s="38"/>
      <c r="Q110" s="10" t="e">
        <f ca="1">INDEX(INDIRECT("RiskResid_"&amp;DocumentLanguage),MATCH(tbl_Risks[[#This Row],[Niveau Risque Inhérent
Inherent Risk Level]], INDIRECT("niv_risk_"&amp;DocumentLanguage), 0),MATCH(tbl_Risks[[#This Row],[Efficacité globale 
Global efficiency]], INDIRECT("effglob_"&amp;DocumentLanguage), 0))</f>
        <v>#N/A</v>
      </c>
      <c r="R110" s="38"/>
      <c r="S110" s="10" t="e">
        <f ca="1">INDEX(INDIRECT("RiskResid_"&amp;DocumentLanguage),MATCH(tbl_Risks[[#This Row],[Niveau Risque Inhérent
Inherent Risk Level]], INDIRECT("niv_risk_"&amp;DocumentLanguage), 0),MATCH(tbl_Risks[[#This Row],[Efficacité finale
Final efficiency]], INDIRECT("effglob_"&amp;DocumentLanguage), 0))</f>
        <v>#N/A</v>
      </c>
    </row>
    <row r="111" spans="1:19">
      <c r="A111" s="38"/>
      <c r="B111" s="38"/>
      <c r="C111" s="39" t="e" cm="1">
        <f t="array" aca="1" ref="C111" ca="1">INDIRECT("tbl_REF_Risques_TDSI[@[Risk Scenario Title "&amp;DocumentLanguage&amp;"]]")</f>
        <v>#REF!</v>
      </c>
      <c r="D111" s="39" t="e" cm="1">
        <f t="array" aca="1" ref="D111" ca="1">INDIRECT("tbl_REF_Risques_TDSI[@[Risk Scenario Description "&amp;DocumentLanguage&amp;"]]")</f>
        <v>#REF!</v>
      </c>
      <c r="E111" s="41"/>
      <c r="F111" s="39"/>
      <c r="G111" s="39"/>
      <c r="H111" s="39"/>
      <c r="I111" s="1" t="str" cm="1">
        <f t="array" aca="1" ref="I111"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11" s="39" t="e" cm="1">
        <f t="array" aca="1" ref="J111" ca="1">INDIRECT("tbl_REF_Risques_TDSI[@[Taxo Cause "&amp;DocumentLanguage&amp;"]]")</f>
        <v>#REF!</v>
      </c>
      <c r="K111" s="39" t="e" cm="1">
        <f t="array" aca="1" ref="K111" ca="1">INDIRECT("tbl_REF_Risques_TDSI[@[Taxo Risk "&amp;DocumentLanguage&amp;"]]")</f>
        <v>#REF!</v>
      </c>
      <c r="L111" s="39" t="e" cm="1">
        <f t="array" aca="1" ref="L111" ca="1">INDIRECT("tbl_REF_Risques_TDSI[@[Taxo Impact "&amp;DocumentLanguage&amp;"]]")</f>
        <v>#REF!</v>
      </c>
      <c r="M111" s="49"/>
      <c r="N111" s="63" t="e" cm="1">
        <f t="array" aca="1" ref="N111"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11" s="38" t="e" cm="1">
        <f t="array" aca="1" ref="O111" ca="1">_xlfn.LET(
 _xlpm.raw,_xlfn.TEXTSPLIT(M111,CHAR(10)),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11" s="38"/>
      <c r="Q111" s="10" t="e">
        <f ca="1">INDEX(INDIRECT("RiskResid_"&amp;DocumentLanguage),MATCH(tbl_Risks[[#This Row],[Niveau Risque Inhérent
Inherent Risk Level]], INDIRECT("niv_risk_"&amp;DocumentLanguage), 0),MATCH(tbl_Risks[[#This Row],[Efficacité globale 
Global efficiency]], INDIRECT("effglob_"&amp;DocumentLanguage), 0))</f>
        <v>#N/A</v>
      </c>
      <c r="R111" s="38"/>
      <c r="S111" s="10" t="e">
        <f ca="1">INDEX(INDIRECT("RiskResid_"&amp;DocumentLanguage),MATCH(tbl_Risks[[#This Row],[Niveau Risque Inhérent
Inherent Risk Level]], INDIRECT("niv_risk_"&amp;DocumentLanguage), 0),MATCH(tbl_Risks[[#This Row],[Efficacité finale
Final efficiency]], INDIRECT("effglob_"&amp;DocumentLanguage), 0))</f>
        <v>#N/A</v>
      </c>
    </row>
    <row r="112" spans="1:19">
      <c r="A112" s="38"/>
      <c r="B112" s="38"/>
      <c r="C112" s="39" t="e" cm="1">
        <f t="array" aca="1" ref="C112" ca="1">INDIRECT("tbl_REF_Risques_TDSI[@[Risk Scenario Title "&amp;DocumentLanguage&amp;"]]")</f>
        <v>#REF!</v>
      </c>
      <c r="D112" s="39" t="e" cm="1">
        <f t="array" aca="1" ref="D112" ca="1">INDIRECT("tbl_REF_Risques_TDSI[@[Risk Scenario Description "&amp;DocumentLanguage&amp;"]]")</f>
        <v>#REF!</v>
      </c>
      <c r="E112" s="41"/>
      <c r="F112" s="39"/>
      <c r="G112" s="39"/>
      <c r="H112" s="39"/>
      <c r="I112" s="1" t="str" cm="1">
        <f t="array" aca="1" ref="I112"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12" s="39" t="e" cm="1">
        <f t="array" aca="1" ref="J112" ca="1">INDIRECT("tbl_REF_Risques_TDSI[@[Taxo Cause "&amp;DocumentLanguage&amp;"]]")</f>
        <v>#REF!</v>
      </c>
      <c r="K112" s="39" t="e" cm="1">
        <f t="array" aca="1" ref="K112" ca="1">INDIRECT("tbl_REF_Risques_TDSI[@[Taxo Risk "&amp;DocumentLanguage&amp;"]]")</f>
        <v>#REF!</v>
      </c>
      <c r="L112" s="39" t="e" cm="1">
        <f t="array" aca="1" ref="L112" ca="1">INDIRECT("tbl_REF_Risques_TDSI[@[Taxo Impact "&amp;DocumentLanguage&amp;"]]")</f>
        <v>#REF!</v>
      </c>
      <c r="M112" s="49"/>
      <c r="N112" s="63" t="e" cm="1">
        <f t="array" aca="1" ref="N112"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12" s="38" t="e" cm="1">
        <f t="array" aca="1" ref="O112" ca="1">_xlfn.LET(
 _xlpm.raw,_xlfn.TEXTSPLIT(M112,CHAR(10)),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12" s="38"/>
      <c r="Q112" s="10" t="e">
        <f ca="1">INDEX(INDIRECT("RiskResid_"&amp;DocumentLanguage),MATCH(tbl_Risks[[#This Row],[Niveau Risque Inhérent
Inherent Risk Level]], INDIRECT("niv_risk_"&amp;DocumentLanguage), 0),MATCH(tbl_Risks[[#This Row],[Efficacité globale 
Global efficiency]], INDIRECT("effglob_"&amp;DocumentLanguage), 0))</f>
        <v>#N/A</v>
      </c>
      <c r="R112" s="38"/>
      <c r="S112" s="10" t="e">
        <f ca="1">INDEX(INDIRECT("RiskResid_"&amp;DocumentLanguage),MATCH(tbl_Risks[[#This Row],[Niveau Risque Inhérent
Inherent Risk Level]], INDIRECT("niv_risk_"&amp;DocumentLanguage), 0),MATCH(tbl_Risks[[#This Row],[Efficacité finale
Final efficiency]], INDIRECT("effglob_"&amp;DocumentLanguage), 0))</f>
        <v>#N/A</v>
      </c>
    </row>
    <row r="113" spans="1:19">
      <c r="A113" s="38"/>
      <c r="B113" s="38"/>
      <c r="C113" s="39" t="e" cm="1">
        <f t="array" aca="1" ref="C113" ca="1">INDIRECT("tbl_REF_Risques_TDSI[@[Risk Scenario Title "&amp;DocumentLanguage&amp;"]]")</f>
        <v>#REF!</v>
      </c>
      <c r="D113" s="39" t="e" cm="1">
        <f t="array" aca="1" ref="D113" ca="1">INDIRECT("tbl_REF_Risques_TDSI[@[Risk Scenario Description "&amp;DocumentLanguage&amp;"]]")</f>
        <v>#REF!</v>
      </c>
      <c r="E113" s="41"/>
      <c r="F113" s="39"/>
      <c r="G113" s="39"/>
      <c r="H113" s="39"/>
      <c r="I113" s="1" t="str" cm="1">
        <f t="array" aca="1" ref="I113"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13" s="39" t="e" cm="1">
        <f t="array" aca="1" ref="J113" ca="1">INDIRECT("tbl_REF_Risques_TDSI[@[Taxo Cause "&amp;DocumentLanguage&amp;"]]")</f>
        <v>#REF!</v>
      </c>
      <c r="K113" s="39" t="e" cm="1">
        <f t="array" aca="1" ref="K113" ca="1">INDIRECT("tbl_REF_Risques_TDSI[@[Taxo Risk "&amp;DocumentLanguage&amp;"]]")</f>
        <v>#REF!</v>
      </c>
      <c r="L113" s="39" t="e" cm="1">
        <f t="array" aca="1" ref="L113" ca="1">INDIRECT("tbl_REF_Risques_TDSI[@[Taxo Impact "&amp;DocumentLanguage&amp;"]]")</f>
        <v>#REF!</v>
      </c>
      <c r="M113" s="49"/>
      <c r="N113" s="63" t="e" cm="1">
        <f t="array" aca="1" ref="N113"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13" s="38" t="e" cm="1">
        <f t="array" aca="1" ref="O113" ca="1">_xlfn.LET(
 _xlpm.raw,_xlfn.TEXTSPLIT(M113,CHAR(10)),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13" s="38"/>
      <c r="Q113" s="10" t="e">
        <f ca="1">INDEX(INDIRECT("RiskResid_"&amp;DocumentLanguage),MATCH(tbl_Risks[[#This Row],[Niveau Risque Inhérent
Inherent Risk Level]], INDIRECT("niv_risk_"&amp;DocumentLanguage), 0),MATCH(tbl_Risks[[#This Row],[Efficacité globale 
Global efficiency]], INDIRECT("effglob_"&amp;DocumentLanguage), 0))</f>
        <v>#N/A</v>
      </c>
      <c r="R113" s="38"/>
      <c r="S113" s="10" t="e">
        <f ca="1">INDEX(INDIRECT("RiskResid_"&amp;DocumentLanguage),MATCH(tbl_Risks[[#This Row],[Niveau Risque Inhérent
Inherent Risk Level]], INDIRECT("niv_risk_"&amp;DocumentLanguage), 0),MATCH(tbl_Risks[[#This Row],[Efficacité finale
Final efficiency]], INDIRECT("effglob_"&amp;DocumentLanguage), 0))</f>
        <v>#N/A</v>
      </c>
    </row>
    <row r="114" spans="1:19">
      <c r="A114" s="38"/>
      <c r="B114" s="38"/>
      <c r="C114" s="39" t="e" cm="1">
        <f t="array" aca="1" ref="C114" ca="1">INDIRECT("tbl_REF_Risques_TDSI[@[Risk Scenario Title "&amp;DocumentLanguage&amp;"]]")</f>
        <v>#REF!</v>
      </c>
      <c r="D114" s="39" t="e" cm="1">
        <f t="array" aca="1" ref="D114" ca="1">INDIRECT("tbl_REF_Risques_TDSI[@[Risk Scenario Description "&amp;DocumentLanguage&amp;"]]")</f>
        <v>#REF!</v>
      </c>
      <c r="E114" s="41"/>
      <c r="F114" s="39"/>
      <c r="G114" s="39"/>
      <c r="H114" s="39"/>
      <c r="I114" s="1" t="str" cm="1">
        <f t="array" aca="1" ref="I114"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14" s="39" t="e" cm="1">
        <f t="array" aca="1" ref="J114" ca="1">INDIRECT("tbl_REF_Risques_TDSI[@[Taxo Cause "&amp;DocumentLanguage&amp;"]]")</f>
        <v>#REF!</v>
      </c>
      <c r="K114" s="39" t="e" cm="1">
        <f t="array" aca="1" ref="K114" ca="1">INDIRECT("tbl_REF_Risques_TDSI[@[Taxo Risk "&amp;DocumentLanguage&amp;"]]")</f>
        <v>#REF!</v>
      </c>
      <c r="L114" s="39" t="e" cm="1">
        <f t="array" aca="1" ref="L114" ca="1">INDIRECT("tbl_REF_Risques_TDSI[@[Taxo Impact "&amp;DocumentLanguage&amp;"]]")</f>
        <v>#REF!</v>
      </c>
      <c r="M114" s="49"/>
      <c r="N114" s="63" t="e" cm="1">
        <f t="array" aca="1" ref="N114"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14" s="38" t="e" cm="1">
        <f t="array" aca="1" ref="O114" ca="1">_xlfn.LET(
 _xlpm.raw,_xlfn.TEXTSPLIT(M114,CHAR(10)),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14" s="38"/>
      <c r="Q114" s="10" t="e">
        <f ca="1">INDEX(INDIRECT("RiskResid_"&amp;DocumentLanguage),MATCH(tbl_Risks[[#This Row],[Niveau Risque Inhérent
Inherent Risk Level]], INDIRECT("niv_risk_"&amp;DocumentLanguage), 0),MATCH(tbl_Risks[[#This Row],[Efficacité globale 
Global efficiency]], INDIRECT("effglob_"&amp;DocumentLanguage), 0))</f>
        <v>#N/A</v>
      </c>
      <c r="R114" s="38"/>
      <c r="S114" s="10" t="e">
        <f ca="1">INDEX(INDIRECT("RiskResid_"&amp;DocumentLanguage),MATCH(tbl_Risks[[#This Row],[Niveau Risque Inhérent
Inherent Risk Level]], INDIRECT("niv_risk_"&amp;DocumentLanguage), 0),MATCH(tbl_Risks[[#This Row],[Efficacité finale
Final efficiency]], INDIRECT("effglob_"&amp;DocumentLanguage), 0))</f>
        <v>#N/A</v>
      </c>
    </row>
    <row r="115" spans="1:19">
      <c r="A115" s="38"/>
      <c r="B115" s="38"/>
      <c r="C115" s="39" t="e" cm="1">
        <f t="array" aca="1" ref="C115" ca="1">INDIRECT("tbl_REF_Risques_TDSI[@[Risk Scenario Title "&amp;DocumentLanguage&amp;"]]")</f>
        <v>#REF!</v>
      </c>
      <c r="D115" s="39" t="e" cm="1">
        <f t="array" aca="1" ref="D115" ca="1">INDIRECT("tbl_REF_Risques_TDSI[@[Risk Scenario Description "&amp;DocumentLanguage&amp;"]]")</f>
        <v>#REF!</v>
      </c>
      <c r="E115" s="41"/>
      <c r="F115" s="39"/>
      <c r="G115" s="39"/>
      <c r="H115" s="39"/>
      <c r="I115" s="1" t="str" cm="1">
        <f t="array" aca="1" ref="I115"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15" s="39" t="e" cm="1">
        <f t="array" aca="1" ref="J115" ca="1">INDIRECT("tbl_REF_Risques_TDSI[@[Taxo Cause "&amp;DocumentLanguage&amp;"]]")</f>
        <v>#REF!</v>
      </c>
      <c r="K115" s="39" t="e" cm="1">
        <f t="array" aca="1" ref="K115" ca="1">INDIRECT("tbl_REF_Risques_TDSI[@[Taxo Risk "&amp;DocumentLanguage&amp;"]]")</f>
        <v>#REF!</v>
      </c>
      <c r="L115" s="39" t="e" cm="1">
        <f t="array" aca="1" ref="L115" ca="1">INDIRECT("tbl_REF_Risques_TDSI[@[Taxo Impact "&amp;DocumentLanguage&amp;"]]")</f>
        <v>#REF!</v>
      </c>
      <c r="M115" s="49"/>
      <c r="N115" s="63" t="e" cm="1">
        <f t="array" aca="1" ref="N115"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15" s="38" t="e" cm="1">
        <f t="array" aca="1" ref="O115" ca="1">_xlfn.LET(
 _xlpm.raw,_xlfn.TEXTSPLIT(M115,CHAR(10)),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15" s="38"/>
      <c r="Q115" s="10" t="e">
        <f ca="1">INDEX(INDIRECT("RiskResid_"&amp;DocumentLanguage),MATCH(tbl_Risks[[#This Row],[Niveau Risque Inhérent
Inherent Risk Level]], INDIRECT("niv_risk_"&amp;DocumentLanguage), 0),MATCH(tbl_Risks[[#This Row],[Efficacité globale 
Global efficiency]], INDIRECT("effglob_"&amp;DocumentLanguage), 0))</f>
        <v>#N/A</v>
      </c>
      <c r="R115" s="38"/>
      <c r="S115" s="10" t="e">
        <f ca="1">INDEX(INDIRECT("RiskResid_"&amp;DocumentLanguage),MATCH(tbl_Risks[[#This Row],[Niveau Risque Inhérent
Inherent Risk Level]], INDIRECT("niv_risk_"&amp;DocumentLanguage), 0),MATCH(tbl_Risks[[#This Row],[Efficacité finale
Final efficiency]], INDIRECT("effglob_"&amp;DocumentLanguage), 0))</f>
        <v>#N/A</v>
      </c>
    </row>
    <row r="116" spans="1:19">
      <c r="A116" s="38"/>
      <c r="B116" s="38"/>
      <c r="C116" s="39" t="e" cm="1">
        <f t="array" aca="1" ref="C116" ca="1">INDIRECT("tbl_REF_Risques_TDSI[@[Risk Scenario Title "&amp;DocumentLanguage&amp;"]]")</f>
        <v>#REF!</v>
      </c>
      <c r="D116" s="39" t="e" cm="1">
        <f t="array" aca="1" ref="D116" ca="1">INDIRECT("tbl_REF_Risques_TDSI[@[Risk Scenario Description "&amp;DocumentLanguage&amp;"]]")</f>
        <v>#REF!</v>
      </c>
      <c r="E116" s="41"/>
      <c r="F116" s="39"/>
      <c r="G116" s="39"/>
      <c r="H116" s="39"/>
      <c r="I116" s="1" t="str" cm="1">
        <f t="array" aca="1" ref="I116"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16" s="39" t="e" cm="1">
        <f t="array" aca="1" ref="J116" ca="1">INDIRECT("tbl_REF_Risques_TDSI[@[Taxo Cause "&amp;DocumentLanguage&amp;"]]")</f>
        <v>#REF!</v>
      </c>
      <c r="K116" s="39" t="e" cm="1">
        <f t="array" aca="1" ref="K116" ca="1">INDIRECT("tbl_REF_Risques_TDSI[@[Taxo Risk "&amp;DocumentLanguage&amp;"]]")</f>
        <v>#REF!</v>
      </c>
      <c r="L116" s="39" t="e" cm="1">
        <f t="array" aca="1" ref="L116" ca="1">INDIRECT("tbl_REF_Risques_TDSI[@[Taxo Impact "&amp;DocumentLanguage&amp;"]]")</f>
        <v>#REF!</v>
      </c>
      <c r="M116" s="49"/>
      <c r="N116" s="63" t="e" cm="1">
        <f t="array" aca="1" ref="N116"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16" s="38" t="e" cm="1">
        <f t="array" aca="1" ref="O116" ca="1">_xlfn.LET(
 _xlpm.raw,_xlfn.TEXTSPLIT(M116,CHAR(10)),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16" s="38"/>
      <c r="Q116" s="10" t="e">
        <f ca="1">INDEX(INDIRECT("RiskResid_"&amp;DocumentLanguage),MATCH(tbl_Risks[[#This Row],[Niveau Risque Inhérent
Inherent Risk Level]], INDIRECT("niv_risk_"&amp;DocumentLanguage), 0),MATCH(tbl_Risks[[#This Row],[Efficacité globale 
Global efficiency]], INDIRECT("effglob_"&amp;DocumentLanguage), 0))</f>
        <v>#N/A</v>
      </c>
      <c r="R116" s="38"/>
      <c r="S116" s="10" t="e">
        <f ca="1">INDEX(INDIRECT("RiskResid_"&amp;DocumentLanguage),MATCH(tbl_Risks[[#This Row],[Niveau Risque Inhérent
Inherent Risk Level]], INDIRECT("niv_risk_"&amp;DocumentLanguage), 0),MATCH(tbl_Risks[[#This Row],[Efficacité finale
Final efficiency]], INDIRECT("effglob_"&amp;DocumentLanguage), 0))</f>
        <v>#N/A</v>
      </c>
    </row>
    <row r="117" spans="1:19">
      <c r="A117" s="38"/>
      <c r="B117" s="38"/>
      <c r="C117" s="39" t="e" cm="1">
        <f t="array" aca="1" ref="C117" ca="1">INDIRECT("tbl_REF_Risques_TDSI[@[Risk Scenario Title "&amp;DocumentLanguage&amp;"]]")</f>
        <v>#REF!</v>
      </c>
      <c r="D117" s="39" t="e" cm="1">
        <f t="array" aca="1" ref="D117" ca="1">INDIRECT("tbl_REF_Risques_TDSI[@[Risk Scenario Description "&amp;DocumentLanguage&amp;"]]")</f>
        <v>#REF!</v>
      </c>
      <c r="E117" s="41"/>
      <c r="F117" s="39"/>
      <c r="G117" s="39"/>
      <c r="H117" s="39"/>
      <c r="I117" s="1" t="str" cm="1">
        <f t="array" aca="1" ref="I117"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17" s="39" t="e" cm="1">
        <f t="array" aca="1" ref="J117" ca="1">INDIRECT("tbl_REF_Risques_TDSI[@[Taxo Cause "&amp;DocumentLanguage&amp;"]]")</f>
        <v>#REF!</v>
      </c>
      <c r="K117" s="39" t="e" cm="1">
        <f t="array" aca="1" ref="K117" ca="1">INDIRECT("tbl_REF_Risques_TDSI[@[Taxo Risk "&amp;DocumentLanguage&amp;"]]")</f>
        <v>#REF!</v>
      </c>
      <c r="L117" s="39" t="e" cm="1">
        <f t="array" aca="1" ref="L117" ca="1">INDIRECT("tbl_REF_Risques_TDSI[@[Taxo Impact "&amp;DocumentLanguage&amp;"]]")</f>
        <v>#REF!</v>
      </c>
      <c r="M117" s="49"/>
      <c r="N117" s="63" t="e" cm="1">
        <f t="array" aca="1" ref="N117"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17" s="38" t="e" cm="1">
        <f t="array" aca="1" ref="O117" ca="1">_xlfn.LET(
 _xlpm.raw,_xlfn.TEXTSPLIT(M117,CHAR(10)),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17" s="38"/>
      <c r="Q117" s="10" t="e">
        <f ca="1">INDEX(INDIRECT("RiskResid_"&amp;DocumentLanguage),MATCH(tbl_Risks[[#This Row],[Niveau Risque Inhérent
Inherent Risk Level]], INDIRECT("niv_risk_"&amp;DocumentLanguage), 0),MATCH(tbl_Risks[[#This Row],[Efficacité globale 
Global efficiency]], INDIRECT("effglob_"&amp;DocumentLanguage), 0))</f>
        <v>#N/A</v>
      </c>
      <c r="R117" s="38"/>
      <c r="S117" s="10" t="e">
        <f ca="1">INDEX(INDIRECT("RiskResid_"&amp;DocumentLanguage),MATCH(tbl_Risks[[#This Row],[Niveau Risque Inhérent
Inherent Risk Level]], INDIRECT("niv_risk_"&amp;DocumentLanguage), 0),MATCH(tbl_Risks[[#This Row],[Efficacité finale
Final efficiency]], INDIRECT("effglob_"&amp;DocumentLanguage), 0))</f>
        <v>#N/A</v>
      </c>
    </row>
    <row r="118" spans="1:19">
      <c r="A118" s="38"/>
      <c r="B118" s="38"/>
      <c r="C118" s="39" t="e" cm="1">
        <f t="array" aca="1" ref="C118" ca="1">INDIRECT("tbl_REF_Risques_TDSI[@[Risk Scenario Title "&amp;DocumentLanguage&amp;"]]")</f>
        <v>#REF!</v>
      </c>
      <c r="D118" s="39" t="e" cm="1">
        <f t="array" aca="1" ref="D118" ca="1">INDIRECT("tbl_REF_Risques_TDSI[@[Risk Scenario Description "&amp;DocumentLanguage&amp;"]]")</f>
        <v>#REF!</v>
      </c>
      <c r="E118" s="41"/>
      <c r="F118" s="39"/>
      <c r="G118" s="39"/>
      <c r="H118" s="39"/>
      <c r="I118" s="1" t="str" cm="1">
        <f t="array" aca="1" ref="I118"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18" s="39" t="e" cm="1">
        <f t="array" aca="1" ref="J118" ca="1">INDIRECT("tbl_REF_Risques_TDSI[@[Taxo Cause "&amp;DocumentLanguage&amp;"]]")</f>
        <v>#REF!</v>
      </c>
      <c r="K118" s="39" t="e" cm="1">
        <f t="array" aca="1" ref="K118" ca="1">INDIRECT("tbl_REF_Risques_TDSI[@[Taxo Risk "&amp;DocumentLanguage&amp;"]]")</f>
        <v>#REF!</v>
      </c>
      <c r="L118" s="39" t="e" cm="1">
        <f t="array" aca="1" ref="L118" ca="1">INDIRECT("tbl_REF_Risques_TDSI[@[Taxo Impact "&amp;DocumentLanguage&amp;"]]")</f>
        <v>#REF!</v>
      </c>
      <c r="M118" s="49"/>
      <c r="N118" s="63" t="e" cm="1">
        <f t="array" aca="1" ref="N118"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18" s="38" t="e" cm="1">
        <f t="array" aca="1" ref="O118" ca="1">_xlfn.LET(
 _xlpm.raw,_xlfn.TEXTSPLIT(M118,CHAR(10)),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18" s="38"/>
      <c r="Q118" s="10" t="e">
        <f ca="1">INDEX(INDIRECT("RiskResid_"&amp;DocumentLanguage),MATCH(tbl_Risks[[#This Row],[Niveau Risque Inhérent
Inherent Risk Level]], INDIRECT("niv_risk_"&amp;DocumentLanguage), 0),MATCH(tbl_Risks[[#This Row],[Efficacité globale 
Global efficiency]], INDIRECT("effglob_"&amp;DocumentLanguage), 0))</f>
        <v>#N/A</v>
      </c>
      <c r="R118" s="38"/>
      <c r="S118" s="10" t="e">
        <f ca="1">INDEX(INDIRECT("RiskResid_"&amp;DocumentLanguage),MATCH(tbl_Risks[[#This Row],[Niveau Risque Inhérent
Inherent Risk Level]], INDIRECT("niv_risk_"&amp;DocumentLanguage), 0),MATCH(tbl_Risks[[#This Row],[Efficacité finale
Final efficiency]], INDIRECT("effglob_"&amp;DocumentLanguage), 0))</f>
        <v>#N/A</v>
      </c>
    </row>
    <row r="119" spans="1:19">
      <c r="A119" s="38"/>
      <c r="B119" s="38"/>
      <c r="C119" s="39" t="e" cm="1">
        <f t="array" aca="1" ref="C119" ca="1">INDIRECT("tbl_REF_Risques_TDSI[@[Risk Scenario Title "&amp;DocumentLanguage&amp;"]]")</f>
        <v>#REF!</v>
      </c>
      <c r="D119" s="39" t="e" cm="1">
        <f t="array" aca="1" ref="D119" ca="1">INDIRECT("tbl_REF_Risques_TDSI[@[Risk Scenario Description "&amp;DocumentLanguage&amp;"]]")</f>
        <v>#REF!</v>
      </c>
      <c r="E119" s="41"/>
      <c r="F119" s="39"/>
      <c r="G119" s="39"/>
      <c r="H119" s="39"/>
      <c r="I119" s="1" t="str" cm="1">
        <f t="array" aca="1" ref="I119"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19" s="39" t="e" cm="1">
        <f t="array" aca="1" ref="J119" ca="1">INDIRECT("tbl_REF_Risques_TDSI[@[Taxo Cause "&amp;DocumentLanguage&amp;"]]")</f>
        <v>#REF!</v>
      </c>
      <c r="K119" s="39" t="e" cm="1">
        <f t="array" aca="1" ref="K119" ca="1">INDIRECT("tbl_REF_Risques_TDSI[@[Taxo Risk "&amp;DocumentLanguage&amp;"]]")</f>
        <v>#REF!</v>
      </c>
      <c r="L119" s="39" t="e" cm="1">
        <f t="array" aca="1" ref="L119" ca="1">INDIRECT("tbl_REF_Risques_TDSI[@[Taxo Impact "&amp;DocumentLanguage&amp;"]]")</f>
        <v>#REF!</v>
      </c>
      <c r="M119" s="49"/>
      <c r="N119" s="63" t="e" cm="1">
        <f t="array" aca="1" ref="N119"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19" s="38" t="e" cm="1">
        <f t="array" aca="1" ref="O119" ca="1">_xlfn.LET(
 _xlpm.raw,_xlfn.TEXTSPLIT(M119,CHAR(10)),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19" s="38"/>
      <c r="Q119" s="10" t="e">
        <f ca="1">INDEX(INDIRECT("RiskResid_"&amp;DocumentLanguage),MATCH(tbl_Risks[[#This Row],[Niveau Risque Inhérent
Inherent Risk Level]], INDIRECT("niv_risk_"&amp;DocumentLanguage), 0),MATCH(tbl_Risks[[#This Row],[Efficacité globale 
Global efficiency]], INDIRECT("effglob_"&amp;DocumentLanguage), 0))</f>
        <v>#N/A</v>
      </c>
      <c r="R119" s="38"/>
      <c r="S119" s="10" t="e">
        <f ca="1">INDEX(INDIRECT("RiskResid_"&amp;DocumentLanguage),MATCH(tbl_Risks[[#This Row],[Niveau Risque Inhérent
Inherent Risk Level]], INDIRECT("niv_risk_"&amp;DocumentLanguage), 0),MATCH(tbl_Risks[[#This Row],[Efficacité finale
Final efficiency]], INDIRECT("effglob_"&amp;DocumentLanguage), 0))</f>
        <v>#N/A</v>
      </c>
    </row>
    <row r="120" spans="1:19">
      <c r="A120" s="38"/>
      <c r="B120" s="38"/>
      <c r="C120" s="39" t="e" cm="1">
        <f t="array" aca="1" ref="C120" ca="1">INDIRECT("tbl_REF_Risques_TDSI[@[Risk Scenario Title "&amp;DocumentLanguage&amp;"]]")</f>
        <v>#REF!</v>
      </c>
      <c r="D120" s="39" t="e" cm="1">
        <f t="array" aca="1" ref="D120" ca="1">INDIRECT("tbl_REF_Risques_TDSI[@[Risk Scenario Description "&amp;DocumentLanguage&amp;"]]")</f>
        <v>#REF!</v>
      </c>
      <c r="E120" s="41"/>
      <c r="F120" s="39"/>
      <c r="G120" s="39"/>
      <c r="H120" s="39"/>
      <c r="I120" s="1" t="str" cm="1">
        <f t="array" aca="1" ref="I120"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20" s="39" t="e" cm="1">
        <f t="array" aca="1" ref="J120" ca="1">INDIRECT("tbl_REF_Risques_TDSI[@[Taxo Cause "&amp;DocumentLanguage&amp;"]]")</f>
        <v>#REF!</v>
      </c>
      <c r="K120" s="39" t="e" cm="1">
        <f t="array" aca="1" ref="K120" ca="1">INDIRECT("tbl_REF_Risques_TDSI[@[Taxo Risk "&amp;DocumentLanguage&amp;"]]")</f>
        <v>#REF!</v>
      </c>
      <c r="L120" s="39" t="e" cm="1">
        <f t="array" aca="1" ref="L120" ca="1">INDIRECT("tbl_REF_Risques_TDSI[@[Taxo Impact "&amp;DocumentLanguage&amp;"]]")</f>
        <v>#REF!</v>
      </c>
      <c r="M120" s="49"/>
      <c r="N120" s="63" t="e" cm="1">
        <f t="array" aca="1" ref="N120"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20" s="38" t="e" cm="1">
        <f t="array" aca="1" ref="O120" ca="1">_xlfn.LET(
 _xlpm.raw,_xlfn.TEXTSPLIT(M120,CHAR(10)),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20" s="38"/>
      <c r="Q120" s="10" t="e">
        <f ca="1">INDEX(INDIRECT("RiskResid_"&amp;DocumentLanguage),MATCH(tbl_Risks[[#This Row],[Niveau Risque Inhérent
Inherent Risk Level]], INDIRECT("niv_risk_"&amp;DocumentLanguage), 0),MATCH(tbl_Risks[[#This Row],[Efficacité globale 
Global efficiency]], INDIRECT("effglob_"&amp;DocumentLanguage), 0))</f>
        <v>#N/A</v>
      </c>
      <c r="R120" s="38"/>
      <c r="S120" s="10" t="e">
        <f ca="1">INDEX(INDIRECT("RiskResid_"&amp;DocumentLanguage),MATCH(tbl_Risks[[#This Row],[Niveau Risque Inhérent
Inherent Risk Level]], INDIRECT("niv_risk_"&amp;DocumentLanguage), 0),MATCH(tbl_Risks[[#This Row],[Efficacité finale
Final efficiency]], INDIRECT("effglob_"&amp;DocumentLanguage), 0))</f>
        <v>#N/A</v>
      </c>
    </row>
    <row r="121" spans="1:19">
      <c r="A121" s="38"/>
      <c r="B121" s="38"/>
      <c r="C121" s="39" t="e" cm="1">
        <f t="array" aca="1" ref="C121" ca="1">INDIRECT("tbl_REF_Risques_TDSI[@[Risk Scenario Title "&amp;DocumentLanguage&amp;"]]")</f>
        <v>#REF!</v>
      </c>
      <c r="D121" s="39" t="e" cm="1">
        <f t="array" aca="1" ref="D121" ca="1">INDIRECT("tbl_REF_Risques_TDSI[@[Risk Scenario Description "&amp;DocumentLanguage&amp;"]]")</f>
        <v>#REF!</v>
      </c>
      <c r="E121" s="41"/>
      <c r="F121" s="39"/>
      <c r="G121" s="39"/>
      <c r="H121" s="39"/>
      <c r="I121" s="1" t="str" cm="1">
        <f t="array" aca="1" ref="I121"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21" s="39" t="e" cm="1">
        <f t="array" aca="1" ref="J121" ca="1">INDIRECT("tbl_REF_Risques_TDSI[@[Taxo Cause "&amp;DocumentLanguage&amp;"]]")</f>
        <v>#REF!</v>
      </c>
      <c r="K121" s="39" t="e" cm="1">
        <f t="array" aca="1" ref="K121" ca="1">INDIRECT("tbl_REF_Risques_TDSI[@[Taxo Risk "&amp;DocumentLanguage&amp;"]]")</f>
        <v>#REF!</v>
      </c>
      <c r="L121" s="39" t="e" cm="1">
        <f t="array" aca="1" ref="L121" ca="1">INDIRECT("tbl_REF_Risques_TDSI[@[Taxo Impact "&amp;DocumentLanguage&amp;"]]")</f>
        <v>#REF!</v>
      </c>
      <c r="M121" s="49"/>
      <c r="N121" s="63" t="e" cm="1">
        <f t="array" aca="1" ref="N121"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21" s="38" t="e" cm="1">
        <f t="array" aca="1" ref="O121" ca="1">_xlfn.LET(
 _xlpm.raw,_xlfn.TEXTSPLIT(M121,CHAR(10)),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21" s="38"/>
      <c r="Q121" s="10" t="e">
        <f ca="1">INDEX(INDIRECT("RiskResid_"&amp;DocumentLanguage),MATCH(tbl_Risks[[#This Row],[Niveau Risque Inhérent
Inherent Risk Level]], INDIRECT("niv_risk_"&amp;DocumentLanguage), 0),MATCH(tbl_Risks[[#This Row],[Efficacité globale 
Global efficiency]], INDIRECT("effglob_"&amp;DocumentLanguage), 0))</f>
        <v>#N/A</v>
      </c>
      <c r="R121" s="38"/>
      <c r="S121" s="10" t="e">
        <f ca="1">INDEX(INDIRECT("RiskResid_"&amp;DocumentLanguage),MATCH(tbl_Risks[[#This Row],[Niveau Risque Inhérent
Inherent Risk Level]], INDIRECT("niv_risk_"&amp;DocumentLanguage), 0),MATCH(tbl_Risks[[#This Row],[Efficacité finale
Final efficiency]], INDIRECT("effglob_"&amp;DocumentLanguage), 0))</f>
        <v>#N/A</v>
      </c>
    </row>
    <row r="122" spans="1:19">
      <c r="A122" s="38"/>
      <c r="B122" s="38"/>
      <c r="C122" s="39" t="e" cm="1">
        <f t="array" aca="1" ref="C122" ca="1">INDIRECT("tbl_REF_Risques_TDSI[@[Risk Scenario Title "&amp;DocumentLanguage&amp;"]]")</f>
        <v>#REF!</v>
      </c>
      <c r="D122" s="39" t="e" cm="1">
        <f t="array" aca="1" ref="D122" ca="1">INDIRECT("tbl_REF_Risques_TDSI[@[Risk Scenario Description "&amp;DocumentLanguage&amp;"]]")</f>
        <v>#REF!</v>
      </c>
      <c r="E122" s="41"/>
      <c r="F122" s="39"/>
      <c r="G122" s="39"/>
      <c r="H122" s="39"/>
      <c r="I122" s="1" t="str" cm="1">
        <f t="array" aca="1" ref="I122"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22" s="39" t="e" cm="1">
        <f t="array" aca="1" ref="J122" ca="1">INDIRECT("tbl_REF_Risques_TDSI[@[Taxo Cause "&amp;DocumentLanguage&amp;"]]")</f>
        <v>#REF!</v>
      </c>
      <c r="K122" s="39" t="e" cm="1">
        <f t="array" aca="1" ref="K122" ca="1">INDIRECT("tbl_REF_Risques_TDSI[@[Taxo Risk "&amp;DocumentLanguage&amp;"]]")</f>
        <v>#REF!</v>
      </c>
      <c r="L122" s="39" t="e" cm="1">
        <f t="array" aca="1" ref="L122" ca="1">INDIRECT("tbl_REF_Risques_TDSI[@[Taxo Impact "&amp;DocumentLanguage&amp;"]]")</f>
        <v>#REF!</v>
      </c>
      <c r="M122" s="49"/>
      <c r="N122" s="63" t="e" cm="1">
        <f t="array" aca="1" ref="N122"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22" s="38" t="e" cm="1">
        <f t="array" aca="1" ref="O122" ca="1">_xlfn.LET(
 _xlpm.raw,_xlfn.TEXTSPLIT(M122,CHAR(10)),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22" s="38"/>
      <c r="Q122" s="10" t="e">
        <f ca="1">INDEX(INDIRECT("RiskResid_"&amp;DocumentLanguage),MATCH(tbl_Risks[[#This Row],[Niveau Risque Inhérent
Inherent Risk Level]], INDIRECT("niv_risk_"&amp;DocumentLanguage), 0),MATCH(tbl_Risks[[#This Row],[Efficacité globale 
Global efficiency]], INDIRECT("effglob_"&amp;DocumentLanguage), 0))</f>
        <v>#N/A</v>
      </c>
      <c r="R122" s="38"/>
      <c r="S122" s="10" t="e">
        <f ca="1">INDEX(INDIRECT("RiskResid_"&amp;DocumentLanguage),MATCH(tbl_Risks[[#This Row],[Niveau Risque Inhérent
Inherent Risk Level]], INDIRECT("niv_risk_"&amp;DocumentLanguage), 0),MATCH(tbl_Risks[[#This Row],[Efficacité finale
Final efficiency]], INDIRECT("effglob_"&amp;DocumentLanguage), 0))</f>
        <v>#N/A</v>
      </c>
    </row>
    <row r="123" spans="1:19">
      <c r="A123" s="38"/>
      <c r="B123" s="38"/>
      <c r="C123" s="39" t="e" cm="1">
        <f t="array" aca="1" ref="C123" ca="1">INDIRECT("tbl_REF_Risques_TDSI[@[Risk Scenario Title "&amp;DocumentLanguage&amp;"]]")</f>
        <v>#REF!</v>
      </c>
      <c r="D123" s="39" t="e" cm="1">
        <f t="array" aca="1" ref="D123" ca="1">INDIRECT("tbl_REF_Risques_TDSI[@[Risk Scenario Description "&amp;DocumentLanguage&amp;"]]")</f>
        <v>#REF!</v>
      </c>
      <c r="E123" s="41"/>
      <c r="F123" s="39"/>
      <c r="G123" s="39"/>
      <c r="H123" s="39"/>
      <c r="I123" s="1" t="str" cm="1">
        <f t="array" aca="1" ref="I123"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23" s="39" t="e" cm="1">
        <f t="array" aca="1" ref="J123" ca="1">INDIRECT("tbl_REF_Risques_TDSI[@[Taxo Cause "&amp;DocumentLanguage&amp;"]]")</f>
        <v>#REF!</v>
      </c>
      <c r="K123" s="39" t="e" cm="1">
        <f t="array" aca="1" ref="K123" ca="1">INDIRECT("tbl_REF_Risques_TDSI[@[Taxo Risk "&amp;DocumentLanguage&amp;"]]")</f>
        <v>#REF!</v>
      </c>
      <c r="L123" s="39" t="e" cm="1">
        <f t="array" aca="1" ref="L123" ca="1">INDIRECT("tbl_REF_Risques_TDSI[@[Taxo Impact "&amp;DocumentLanguage&amp;"]]")</f>
        <v>#REF!</v>
      </c>
      <c r="M123" s="49"/>
      <c r="N123" s="63" t="e" cm="1">
        <f t="array" aca="1" ref="N123"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23" s="38" t="e" cm="1">
        <f t="array" aca="1" ref="O123" ca="1">_xlfn.LET(
 _xlpm.raw,_xlfn.TEXTSPLIT(M123,CHAR(10)),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23" s="38"/>
      <c r="Q123" s="10" t="e">
        <f ca="1">INDEX(INDIRECT("RiskResid_"&amp;DocumentLanguage),MATCH(tbl_Risks[[#This Row],[Niveau Risque Inhérent
Inherent Risk Level]], INDIRECT("niv_risk_"&amp;DocumentLanguage), 0),MATCH(tbl_Risks[[#This Row],[Efficacité globale 
Global efficiency]], INDIRECT("effglob_"&amp;DocumentLanguage), 0))</f>
        <v>#N/A</v>
      </c>
      <c r="R123" s="38"/>
      <c r="S123" s="10" t="e">
        <f ca="1">INDEX(INDIRECT("RiskResid_"&amp;DocumentLanguage),MATCH(tbl_Risks[[#This Row],[Niveau Risque Inhérent
Inherent Risk Level]], INDIRECT("niv_risk_"&amp;DocumentLanguage), 0),MATCH(tbl_Risks[[#This Row],[Efficacité finale
Final efficiency]], INDIRECT("effglob_"&amp;DocumentLanguage), 0))</f>
        <v>#N/A</v>
      </c>
    </row>
    <row r="124" spans="1:19">
      <c r="A124" s="38"/>
      <c r="B124" s="38"/>
      <c r="C124" s="39" t="e" cm="1">
        <f t="array" aca="1" ref="C124" ca="1">INDIRECT("tbl_REF_Risques_TDSI[@[Risk Scenario Title "&amp;DocumentLanguage&amp;"]]")</f>
        <v>#REF!</v>
      </c>
      <c r="D124" s="39" t="e" cm="1">
        <f t="array" aca="1" ref="D124" ca="1">INDIRECT("tbl_REF_Risques_TDSI[@[Risk Scenario Description "&amp;DocumentLanguage&amp;"]]")</f>
        <v>#REF!</v>
      </c>
      <c r="E124" s="41"/>
      <c r="F124" s="39"/>
      <c r="G124" s="39"/>
      <c r="H124" s="39"/>
      <c r="I124" s="1" t="str" cm="1">
        <f t="array" aca="1" ref="I124"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24" s="39" t="e" cm="1">
        <f t="array" aca="1" ref="J124" ca="1">INDIRECT("tbl_REF_Risques_TDSI[@[Taxo Cause "&amp;DocumentLanguage&amp;"]]")</f>
        <v>#REF!</v>
      </c>
      <c r="K124" s="39" t="e" cm="1">
        <f t="array" aca="1" ref="K124" ca="1">INDIRECT("tbl_REF_Risques_TDSI[@[Taxo Risk "&amp;DocumentLanguage&amp;"]]")</f>
        <v>#REF!</v>
      </c>
      <c r="L124" s="39" t="e" cm="1">
        <f t="array" aca="1" ref="L124" ca="1">INDIRECT("tbl_REF_Risques_TDSI[@[Taxo Impact "&amp;DocumentLanguage&amp;"]]")</f>
        <v>#REF!</v>
      </c>
      <c r="M124" s="49"/>
      <c r="N124" s="63" t="e" cm="1">
        <f t="array" aca="1" ref="N124"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24" s="38" t="e" cm="1">
        <f t="array" aca="1" ref="O124" ca="1">_xlfn.LET(
 _xlpm.raw,_xlfn.TEXTSPLIT(M124,CHAR(10)),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24" s="38"/>
      <c r="Q124" s="10" t="e">
        <f ca="1">INDEX(INDIRECT("RiskResid_"&amp;DocumentLanguage),MATCH(tbl_Risks[[#This Row],[Niveau Risque Inhérent
Inherent Risk Level]], INDIRECT("niv_risk_"&amp;DocumentLanguage), 0),MATCH(tbl_Risks[[#This Row],[Efficacité globale 
Global efficiency]], INDIRECT("effglob_"&amp;DocumentLanguage), 0))</f>
        <v>#N/A</v>
      </c>
      <c r="R124" s="38"/>
      <c r="S124" s="10" t="e">
        <f ca="1">INDEX(INDIRECT("RiskResid_"&amp;DocumentLanguage),MATCH(tbl_Risks[[#This Row],[Niveau Risque Inhérent
Inherent Risk Level]], INDIRECT("niv_risk_"&amp;DocumentLanguage), 0),MATCH(tbl_Risks[[#This Row],[Efficacité finale
Final efficiency]], INDIRECT("effglob_"&amp;DocumentLanguage), 0))</f>
        <v>#N/A</v>
      </c>
    </row>
    <row r="125" spans="1:19">
      <c r="A125" s="38"/>
      <c r="B125" s="38"/>
      <c r="C125" s="39" t="e" cm="1">
        <f t="array" aca="1" ref="C125" ca="1">INDIRECT("tbl_REF_Risques_TDSI[@[Risk Scenario Title "&amp;DocumentLanguage&amp;"]]")</f>
        <v>#REF!</v>
      </c>
      <c r="D125" s="39" t="e" cm="1">
        <f t="array" aca="1" ref="D125" ca="1">INDIRECT("tbl_REF_Risques_TDSI[@[Risk Scenario Description "&amp;DocumentLanguage&amp;"]]")</f>
        <v>#REF!</v>
      </c>
      <c r="E125" s="41"/>
      <c r="F125" s="39"/>
      <c r="G125" s="39"/>
      <c r="H125" s="39"/>
      <c r="I125" s="1" t="str" cm="1">
        <f t="array" aca="1" ref="I125"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25" s="39" t="e" cm="1">
        <f t="array" aca="1" ref="J125" ca="1">INDIRECT("tbl_REF_Risques_TDSI[@[Taxo Cause "&amp;DocumentLanguage&amp;"]]")</f>
        <v>#REF!</v>
      </c>
      <c r="K125" s="39" t="e" cm="1">
        <f t="array" aca="1" ref="K125" ca="1">INDIRECT("tbl_REF_Risques_TDSI[@[Taxo Risk "&amp;DocumentLanguage&amp;"]]")</f>
        <v>#REF!</v>
      </c>
      <c r="L125" s="39" t="e" cm="1">
        <f t="array" aca="1" ref="L125" ca="1">INDIRECT("tbl_REF_Risques_TDSI[@[Taxo Impact "&amp;DocumentLanguage&amp;"]]")</f>
        <v>#REF!</v>
      </c>
      <c r="M125" s="49"/>
      <c r="N125" s="63" t="e" cm="1">
        <f t="array" aca="1" ref="N125"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25" s="38" t="e" cm="1">
        <f t="array" aca="1" ref="O125" ca="1">_xlfn.LET(
 _xlpm.raw,_xlfn.TEXTSPLIT(M125,CHAR(10)),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25" s="38"/>
      <c r="Q125" s="10" t="e">
        <f ca="1">INDEX(INDIRECT("RiskResid_"&amp;DocumentLanguage),MATCH(tbl_Risks[[#This Row],[Niveau Risque Inhérent
Inherent Risk Level]], INDIRECT("niv_risk_"&amp;DocumentLanguage), 0),MATCH(tbl_Risks[[#This Row],[Efficacité globale 
Global efficiency]], INDIRECT("effglob_"&amp;DocumentLanguage), 0))</f>
        <v>#N/A</v>
      </c>
      <c r="R125" s="38"/>
      <c r="S125" s="10" t="e">
        <f ca="1">INDEX(INDIRECT("RiskResid_"&amp;DocumentLanguage),MATCH(tbl_Risks[[#This Row],[Niveau Risque Inhérent
Inherent Risk Level]], INDIRECT("niv_risk_"&amp;DocumentLanguage), 0),MATCH(tbl_Risks[[#This Row],[Efficacité finale
Final efficiency]], INDIRECT("effglob_"&amp;DocumentLanguage), 0))</f>
        <v>#N/A</v>
      </c>
    </row>
    <row r="126" spans="1:19">
      <c r="A126" s="38"/>
      <c r="B126" s="38"/>
      <c r="C126" s="39" t="e" cm="1">
        <f t="array" aca="1" ref="C126" ca="1">INDIRECT("tbl_REF_Risques_TDSI[@[Risk Scenario Title "&amp;DocumentLanguage&amp;"]]")</f>
        <v>#REF!</v>
      </c>
      <c r="D126" s="39" t="e" cm="1">
        <f t="array" aca="1" ref="D126" ca="1">INDIRECT("tbl_REF_Risques_TDSI[@[Risk Scenario Description "&amp;DocumentLanguage&amp;"]]")</f>
        <v>#REF!</v>
      </c>
      <c r="E126" s="41"/>
      <c r="F126" s="39"/>
      <c r="G126" s="39"/>
      <c r="H126" s="39"/>
      <c r="I126" s="1" t="str" cm="1">
        <f t="array" aca="1" ref="I126"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26" s="39" t="e" cm="1">
        <f t="array" aca="1" ref="J126" ca="1">INDIRECT("tbl_REF_Risques_TDSI[@[Taxo Cause "&amp;DocumentLanguage&amp;"]]")</f>
        <v>#REF!</v>
      </c>
      <c r="K126" s="39" t="e" cm="1">
        <f t="array" aca="1" ref="K126" ca="1">INDIRECT("tbl_REF_Risques_TDSI[@[Taxo Risk "&amp;DocumentLanguage&amp;"]]")</f>
        <v>#REF!</v>
      </c>
      <c r="L126" s="39" t="e" cm="1">
        <f t="array" aca="1" ref="L126" ca="1">INDIRECT("tbl_REF_Risques_TDSI[@[Taxo Impact "&amp;DocumentLanguage&amp;"]]")</f>
        <v>#REF!</v>
      </c>
      <c r="M126" s="49"/>
      <c r="N126" s="63" t="e" cm="1">
        <f t="array" aca="1" ref="N126"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26" s="38" t="e" cm="1">
        <f t="array" aca="1" ref="O126" ca="1">_xlfn.LET(
 _xlpm.raw,_xlfn.TEXTSPLIT(M126,CHAR(10)),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26" s="38"/>
      <c r="Q126" s="10" t="e">
        <f ca="1">INDEX(INDIRECT("RiskResid_"&amp;DocumentLanguage),MATCH(tbl_Risks[[#This Row],[Niveau Risque Inhérent
Inherent Risk Level]], INDIRECT("niv_risk_"&amp;DocumentLanguage), 0),MATCH(tbl_Risks[[#This Row],[Efficacité globale 
Global efficiency]], INDIRECT("effglob_"&amp;DocumentLanguage), 0))</f>
        <v>#N/A</v>
      </c>
      <c r="R126" s="38"/>
      <c r="S126" s="10" t="e">
        <f ca="1">INDEX(INDIRECT("RiskResid_"&amp;DocumentLanguage),MATCH(tbl_Risks[[#This Row],[Niveau Risque Inhérent
Inherent Risk Level]], INDIRECT("niv_risk_"&amp;DocumentLanguage), 0),MATCH(tbl_Risks[[#This Row],[Efficacité finale
Final efficiency]], INDIRECT("effglob_"&amp;DocumentLanguage), 0))</f>
        <v>#N/A</v>
      </c>
    </row>
    <row r="127" spans="1:19">
      <c r="A127" s="38"/>
      <c r="B127" s="38"/>
      <c r="C127" s="39" t="e" cm="1">
        <f t="array" aca="1" ref="C127" ca="1">INDIRECT("tbl_REF_Risques_TDSI[@[Risk Scenario Title "&amp;DocumentLanguage&amp;"]]")</f>
        <v>#REF!</v>
      </c>
      <c r="D127" s="39" t="e" cm="1">
        <f t="array" aca="1" ref="D127" ca="1">INDIRECT("tbl_REF_Risques_TDSI[@[Risk Scenario Description "&amp;DocumentLanguage&amp;"]]")</f>
        <v>#REF!</v>
      </c>
      <c r="E127" s="41"/>
      <c r="F127" s="39"/>
      <c r="G127" s="39"/>
      <c r="H127" s="39"/>
      <c r="I127" s="1" t="str" cm="1">
        <f t="array" aca="1" ref="I127"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27" s="39" t="e" cm="1">
        <f t="array" aca="1" ref="J127" ca="1">INDIRECT("tbl_REF_Risques_TDSI[@[Taxo Cause "&amp;DocumentLanguage&amp;"]]")</f>
        <v>#REF!</v>
      </c>
      <c r="K127" s="39" t="e" cm="1">
        <f t="array" aca="1" ref="K127" ca="1">INDIRECT("tbl_REF_Risques_TDSI[@[Taxo Risk "&amp;DocumentLanguage&amp;"]]")</f>
        <v>#REF!</v>
      </c>
      <c r="L127" s="39" t="e" cm="1">
        <f t="array" aca="1" ref="L127" ca="1">INDIRECT("tbl_REF_Risques_TDSI[@[Taxo Impact "&amp;DocumentLanguage&amp;"]]")</f>
        <v>#REF!</v>
      </c>
      <c r="M127" s="49"/>
      <c r="N127" s="63" t="e" cm="1">
        <f t="array" aca="1" ref="N127"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27" s="38" t="e" cm="1">
        <f t="array" aca="1" ref="O127" ca="1">_xlfn.LET(
 _xlpm.raw,_xlfn.TEXTSPLIT(M127,CHAR(10)),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27" s="38"/>
      <c r="Q127" s="10" t="e">
        <f ca="1">INDEX(INDIRECT("RiskResid_"&amp;DocumentLanguage),MATCH(tbl_Risks[[#This Row],[Niveau Risque Inhérent
Inherent Risk Level]], INDIRECT("niv_risk_"&amp;DocumentLanguage), 0),MATCH(tbl_Risks[[#This Row],[Efficacité globale 
Global efficiency]], INDIRECT("effglob_"&amp;DocumentLanguage), 0))</f>
        <v>#N/A</v>
      </c>
      <c r="R127" s="38"/>
      <c r="S127" s="10" t="e">
        <f ca="1">INDEX(INDIRECT("RiskResid_"&amp;DocumentLanguage),MATCH(tbl_Risks[[#This Row],[Niveau Risque Inhérent
Inherent Risk Level]], INDIRECT("niv_risk_"&amp;DocumentLanguage), 0),MATCH(tbl_Risks[[#This Row],[Efficacité finale
Final efficiency]], INDIRECT("effglob_"&amp;DocumentLanguage), 0))</f>
        <v>#N/A</v>
      </c>
    </row>
    <row r="128" spans="1:19">
      <c r="A128" s="38"/>
      <c r="B128" s="38"/>
      <c r="C128" s="39" t="e" cm="1">
        <f t="array" aca="1" ref="C128" ca="1">INDIRECT("tbl_REF_Risques_TDSI[@[Risk Scenario Title "&amp;DocumentLanguage&amp;"]]")</f>
        <v>#REF!</v>
      </c>
      <c r="D128" s="39" t="e" cm="1">
        <f t="array" aca="1" ref="D128" ca="1">INDIRECT("tbl_REF_Risques_TDSI[@[Risk Scenario Description "&amp;DocumentLanguage&amp;"]]")</f>
        <v>#REF!</v>
      </c>
      <c r="E128" s="41"/>
      <c r="F128" s="39"/>
      <c r="G128" s="39"/>
      <c r="H128" s="39"/>
      <c r="I128" s="1" t="str" cm="1">
        <f t="array" aca="1" ref="I128"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28" s="39" t="e" cm="1">
        <f t="array" aca="1" ref="J128" ca="1">INDIRECT("tbl_REF_Risques_TDSI[@[Taxo Cause "&amp;DocumentLanguage&amp;"]]")</f>
        <v>#REF!</v>
      </c>
      <c r="K128" s="39" t="e" cm="1">
        <f t="array" aca="1" ref="K128" ca="1">INDIRECT("tbl_REF_Risques_TDSI[@[Taxo Risk "&amp;DocumentLanguage&amp;"]]")</f>
        <v>#REF!</v>
      </c>
      <c r="L128" s="39" t="e" cm="1">
        <f t="array" aca="1" ref="L128" ca="1">INDIRECT("tbl_REF_Risques_TDSI[@[Taxo Impact "&amp;DocumentLanguage&amp;"]]")</f>
        <v>#REF!</v>
      </c>
      <c r="M128" s="49"/>
      <c r="N128" s="63" t="e" cm="1">
        <f t="array" aca="1" ref="N128"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28" s="38" t="e" cm="1">
        <f t="array" aca="1" ref="O128" ca="1">_xlfn.LET(
 _xlpm.raw,_xlfn.TEXTSPLIT(M128,CHAR(10)),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28" s="38"/>
      <c r="Q128" s="10" t="e">
        <f ca="1">INDEX(INDIRECT("RiskResid_"&amp;DocumentLanguage),MATCH(tbl_Risks[[#This Row],[Niveau Risque Inhérent
Inherent Risk Level]], INDIRECT("niv_risk_"&amp;DocumentLanguage), 0),MATCH(tbl_Risks[[#This Row],[Efficacité globale 
Global efficiency]], INDIRECT("effglob_"&amp;DocumentLanguage), 0))</f>
        <v>#N/A</v>
      </c>
      <c r="R128" s="38"/>
      <c r="S128" s="10" t="e">
        <f ca="1">INDEX(INDIRECT("RiskResid_"&amp;DocumentLanguage),MATCH(tbl_Risks[[#This Row],[Niveau Risque Inhérent
Inherent Risk Level]], INDIRECT("niv_risk_"&amp;DocumentLanguage), 0),MATCH(tbl_Risks[[#This Row],[Efficacité finale
Final efficiency]], INDIRECT("effglob_"&amp;DocumentLanguage), 0))</f>
        <v>#N/A</v>
      </c>
    </row>
    <row r="129" spans="1:19">
      <c r="A129" s="38"/>
      <c r="B129" s="38"/>
      <c r="C129" s="39" t="e" cm="1">
        <f t="array" aca="1" ref="C129" ca="1">INDIRECT("tbl_REF_Risques_TDSI[@[Risk Scenario Title "&amp;DocumentLanguage&amp;"]]")</f>
        <v>#REF!</v>
      </c>
      <c r="D129" s="39" t="e" cm="1">
        <f t="array" aca="1" ref="D129" ca="1">INDIRECT("tbl_REF_Risques_TDSI[@[Risk Scenario Description "&amp;DocumentLanguage&amp;"]]")</f>
        <v>#REF!</v>
      </c>
      <c r="E129" s="41"/>
      <c r="F129" s="39"/>
      <c r="G129" s="39"/>
      <c r="H129" s="39"/>
      <c r="I129" s="1" t="str" cm="1">
        <f t="array" aca="1" ref="I129"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29" s="39" t="e" cm="1">
        <f t="array" aca="1" ref="J129" ca="1">INDIRECT("tbl_REF_Risques_TDSI[@[Taxo Cause "&amp;DocumentLanguage&amp;"]]")</f>
        <v>#REF!</v>
      </c>
      <c r="K129" s="39" t="e" cm="1">
        <f t="array" aca="1" ref="K129" ca="1">INDIRECT("tbl_REF_Risques_TDSI[@[Taxo Risk "&amp;DocumentLanguage&amp;"]]")</f>
        <v>#REF!</v>
      </c>
      <c r="L129" s="39" t="e" cm="1">
        <f t="array" aca="1" ref="L129" ca="1">INDIRECT("tbl_REF_Risques_TDSI[@[Taxo Impact "&amp;DocumentLanguage&amp;"]]")</f>
        <v>#REF!</v>
      </c>
      <c r="M129" s="49"/>
      <c r="N129" s="63" t="e" cm="1">
        <f t="array" aca="1" ref="N129"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29" s="38" t="e" cm="1">
        <f t="array" aca="1" ref="O129" ca="1">_xlfn.LET(
 _xlpm.raw,_xlfn.TEXTSPLIT(M129,CHAR(10)),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29" s="38"/>
      <c r="Q129" s="10" t="e">
        <f ca="1">INDEX(INDIRECT("RiskResid_"&amp;DocumentLanguage),MATCH(tbl_Risks[[#This Row],[Niveau Risque Inhérent
Inherent Risk Level]], INDIRECT("niv_risk_"&amp;DocumentLanguage), 0),MATCH(tbl_Risks[[#This Row],[Efficacité globale 
Global efficiency]], INDIRECT("effglob_"&amp;DocumentLanguage), 0))</f>
        <v>#N/A</v>
      </c>
      <c r="R129" s="38"/>
      <c r="S129" s="10" t="e">
        <f ca="1">INDEX(INDIRECT("RiskResid_"&amp;DocumentLanguage),MATCH(tbl_Risks[[#This Row],[Niveau Risque Inhérent
Inherent Risk Level]], INDIRECT("niv_risk_"&amp;DocumentLanguage), 0),MATCH(tbl_Risks[[#This Row],[Efficacité finale
Final efficiency]], INDIRECT("effglob_"&amp;DocumentLanguage), 0))</f>
        <v>#N/A</v>
      </c>
    </row>
    <row r="130" spans="1:19">
      <c r="A130" s="38"/>
      <c r="B130" s="38"/>
      <c r="C130" s="39" t="e" cm="1">
        <f t="array" aca="1" ref="C130" ca="1">INDIRECT("tbl_REF_Risques_TDSI[@[Risk Scenario Title "&amp;DocumentLanguage&amp;"]]")</f>
        <v>#REF!</v>
      </c>
      <c r="D130" s="39" t="e" cm="1">
        <f t="array" aca="1" ref="D130" ca="1">INDIRECT("tbl_REF_Risques_TDSI[@[Risk Scenario Description "&amp;DocumentLanguage&amp;"]]")</f>
        <v>#REF!</v>
      </c>
      <c r="E130" s="41"/>
      <c r="F130" s="39"/>
      <c r="G130" s="39"/>
      <c r="H130" s="39"/>
      <c r="I130" s="1" t="str" cm="1">
        <f t="array" aca="1" ref="I130"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30" s="39" t="e" cm="1">
        <f t="array" aca="1" ref="J130" ca="1">INDIRECT("tbl_REF_Risques_TDSI[@[Taxo Cause "&amp;DocumentLanguage&amp;"]]")</f>
        <v>#REF!</v>
      </c>
      <c r="K130" s="39" t="e" cm="1">
        <f t="array" aca="1" ref="K130" ca="1">INDIRECT("tbl_REF_Risques_TDSI[@[Taxo Risk "&amp;DocumentLanguage&amp;"]]")</f>
        <v>#REF!</v>
      </c>
      <c r="L130" s="39" t="e" cm="1">
        <f t="array" aca="1" ref="L130" ca="1">INDIRECT("tbl_REF_Risques_TDSI[@[Taxo Impact "&amp;DocumentLanguage&amp;"]]")</f>
        <v>#REF!</v>
      </c>
      <c r="M130" s="49"/>
      <c r="N130" s="63" t="e" cm="1">
        <f t="array" aca="1" ref="N130"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30" s="38" t="e" cm="1">
        <f t="array" aca="1" ref="O130" ca="1">_xlfn.LET(
 _xlpm.raw,_xlfn.TEXTSPLIT(M130,CHAR(10)),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30" s="38"/>
      <c r="Q130" s="10" t="e">
        <f ca="1">INDEX(INDIRECT("RiskResid_"&amp;DocumentLanguage),MATCH(tbl_Risks[[#This Row],[Niveau Risque Inhérent
Inherent Risk Level]], INDIRECT("niv_risk_"&amp;DocumentLanguage), 0),MATCH(tbl_Risks[[#This Row],[Efficacité globale 
Global efficiency]], INDIRECT("effglob_"&amp;DocumentLanguage), 0))</f>
        <v>#N/A</v>
      </c>
      <c r="R130" s="38"/>
      <c r="S130" s="10" t="e">
        <f ca="1">INDEX(INDIRECT("RiskResid_"&amp;DocumentLanguage),MATCH(tbl_Risks[[#This Row],[Niveau Risque Inhérent
Inherent Risk Level]], INDIRECT("niv_risk_"&amp;DocumentLanguage), 0),MATCH(tbl_Risks[[#This Row],[Efficacité finale
Final efficiency]], INDIRECT("effglob_"&amp;DocumentLanguage), 0))</f>
        <v>#N/A</v>
      </c>
    </row>
    <row r="131" spans="1:19">
      <c r="A131" s="38"/>
      <c r="B131" s="38"/>
      <c r="C131" s="39" t="e" cm="1">
        <f t="array" aca="1" ref="C131" ca="1">INDIRECT("tbl_REF_Risques_TDSI[@[Risk Scenario Title "&amp;DocumentLanguage&amp;"]]")</f>
        <v>#REF!</v>
      </c>
      <c r="D131" s="39" t="e" cm="1">
        <f t="array" aca="1" ref="D131" ca="1">INDIRECT("tbl_REF_Risques_TDSI[@[Risk Scenario Description "&amp;DocumentLanguage&amp;"]]")</f>
        <v>#REF!</v>
      </c>
      <c r="E131" s="41"/>
      <c r="F131" s="39"/>
      <c r="G131" s="39"/>
      <c r="H131" s="39"/>
      <c r="I131" s="1" t="str" cm="1">
        <f t="array" aca="1" ref="I131"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31" s="39" t="e" cm="1">
        <f t="array" aca="1" ref="J131" ca="1">INDIRECT("tbl_REF_Risques_TDSI[@[Taxo Cause "&amp;DocumentLanguage&amp;"]]")</f>
        <v>#REF!</v>
      </c>
      <c r="K131" s="39" t="e" cm="1">
        <f t="array" aca="1" ref="K131" ca="1">INDIRECT("tbl_REF_Risques_TDSI[@[Taxo Risk "&amp;DocumentLanguage&amp;"]]")</f>
        <v>#REF!</v>
      </c>
      <c r="L131" s="39" t="e" cm="1">
        <f t="array" aca="1" ref="L131" ca="1">INDIRECT("tbl_REF_Risques_TDSI[@[Taxo Impact "&amp;DocumentLanguage&amp;"]]")</f>
        <v>#REF!</v>
      </c>
      <c r="M131" s="49"/>
      <c r="N131" s="63" t="e" cm="1">
        <f t="array" aca="1" ref="N131"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31" s="38" t="e" cm="1">
        <f t="array" aca="1" ref="O131" ca="1">_xlfn.LET(
 _xlpm.raw,_xlfn.TEXTSPLIT(M131,CHAR(10)),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31" s="38"/>
      <c r="Q131" s="10" t="e">
        <f ca="1">INDEX(INDIRECT("RiskResid_"&amp;DocumentLanguage),MATCH(tbl_Risks[[#This Row],[Niveau Risque Inhérent
Inherent Risk Level]], INDIRECT("niv_risk_"&amp;DocumentLanguage), 0),MATCH(tbl_Risks[[#This Row],[Efficacité globale 
Global efficiency]], INDIRECT("effglob_"&amp;DocumentLanguage), 0))</f>
        <v>#N/A</v>
      </c>
      <c r="R131" s="38"/>
      <c r="S131" s="10" t="e">
        <f ca="1">INDEX(INDIRECT("RiskResid_"&amp;DocumentLanguage),MATCH(tbl_Risks[[#This Row],[Niveau Risque Inhérent
Inherent Risk Level]], INDIRECT("niv_risk_"&amp;DocumentLanguage), 0),MATCH(tbl_Risks[[#This Row],[Efficacité finale
Final efficiency]], INDIRECT("effglob_"&amp;DocumentLanguage), 0))</f>
        <v>#N/A</v>
      </c>
    </row>
    <row r="132" spans="1:19">
      <c r="A132" s="38"/>
      <c r="B132" s="38"/>
      <c r="C132" s="39" t="e" cm="1">
        <f t="array" aca="1" ref="C132" ca="1">INDIRECT("tbl_REF_Risques_TDSI[@[Risk Scenario Title "&amp;DocumentLanguage&amp;"]]")</f>
        <v>#REF!</v>
      </c>
      <c r="D132" s="39" t="e" cm="1">
        <f t="array" aca="1" ref="D132" ca="1">INDIRECT("tbl_REF_Risques_TDSI[@[Risk Scenario Description "&amp;DocumentLanguage&amp;"]]")</f>
        <v>#REF!</v>
      </c>
      <c r="E132" s="41"/>
      <c r="F132" s="39"/>
      <c r="G132" s="39"/>
      <c r="H132" s="39"/>
      <c r="I132" s="1" t="str" cm="1">
        <f t="array" aca="1" ref="I132"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32" s="39" t="e" cm="1">
        <f t="array" aca="1" ref="J132" ca="1">INDIRECT("tbl_REF_Risques_TDSI[@[Taxo Cause "&amp;DocumentLanguage&amp;"]]")</f>
        <v>#REF!</v>
      </c>
      <c r="K132" s="39" t="e" cm="1">
        <f t="array" aca="1" ref="K132" ca="1">INDIRECT("tbl_REF_Risques_TDSI[@[Taxo Risk "&amp;DocumentLanguage&amp;"]]")</f>
        <v>#REF!</v>
      </c>
      <c r="L132" s="39" t="e" cm="1">
        <f t="array" aca="1" ref="L132" ca="1">INDIRECT("tbl_REF_Risques_TDSI[@[Taxo Impact "&amp;DocumentLanguage&amp;"]]")</f>
        <v>#REF!</v>
      </c>
      <c r="M132" s="49"/>
      <c r="N132" s="63" t="e" cm="1">
        <f t="array" aca="1" ref="N132"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32" s="38" t="e" cm="1">
        <f t="array" aca="1" ref="O132" ca="1">_xlfn.LET(
 _xlpm.raw,_xlfn.TEXTSPLIT(M132,CHAR(10)),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32" s="38"/>
      <c r="Q132" s="10" t="e">
        <f ca="1">INDEX(INDIRECT("RiskResid_"&amp;DocumentLanguage),MATCH(tbl_Risks[[#This Row],[Niveau Risque Inhérent
Inherent Risk Level]], INDIRECT("niv_risk_"&amp;DocumentLanguage), 0),MATCH(tbl_Risks[[#This Row],[Efficacité globale 
Global efficiency]], INDIRECT("effglob_"&amp;DocumentLanguage), 0))</f>
        <v>#N/A</v>
      </c>
      <c r="R132" s="38"/>
      <c r="S132" s="10" t="e">
        <f ca="1">INDEX(INDIRECT("RiskResid_"&amp;DocumentLanguage),MATCH(tbl_Risks[[#This Row],[Niveau Risque Inhérent
Inherent Risk Level]], INDIRECT("niv_risk_"&amp;DocumentLanguage), 0),MATCH(tbl_Risks[[#This Row],[Efficacité finale
Final efficiency]], INDIRECT("effglob_"&amp;DocumentLanguage), 0))</f>
        <v>#N/A</v>
      </c>
    </row>
    <row r="133" spans="1:19">
      <c r="A133" s="38"/>
      <c r="B133" s="38"/>
      <c r="C133" s="39" t="e" cm="1">
        <f t="array" aca="1" ref="C133" ca="1">INDIRECT("tbl_REF_Risques_TDSI[@[Risk Scenario Title "&amp;DocumentLanguage&amp;"]]")</f>
        <v>#REF!</v>
      </c>
      <c r="D133" s="39" t="e" cm="1">
        <f t="array" aca="1" ref="D133" ca="1">INDIRECT("tbl_REF_Risques_TDSI[@[Risk Scenario Description "&amp;DocumentLanguage&amp;"]]")</f>
        <v>#REF!</v>
      </c>
      <c r="E133" s="41"/>
      <c r="F133" s="39"/>
      <c r="G133" s="39"/>
      <c r="H133" s="39"/>
      <c r="I133" s="1" t="str" cm="1">
        <f t="array" aca="1" ref="I133"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33" s="39" t="e" cm="1">
        <f t="array" aca="1" ref="J133" ca="1">INDIRECT("tbl_REF_Risques_TDSI[@[Taxo Cause "&amp;DocumentLanguage&amp;"]]")</f>
        <v>#REF!</v>
      </c>
      <c r="K133" s="39" t="e" cm="1">
        <f t="array" aca="1" ref="K133" ca="1">INDIRECT("tbl_REF_Risques_TDSI[@[Taxo Risk "&amp;DocumentLanguage&amp;"]]")</f>
        <v>#REF!</v>
      </c>
      <c r="L133" s="39" t="e" cm="1">
        <f t="array" aca="1" ref="L133" ca="1">INDIRECT("tbl_REF_Risques_TDSI[@[Taxo Impact "&amp;DocumentLanguage&amp;"]]")</f>
        <v>#REF!</v>
      </c>
      <c r="M133" s="49"/>
      <c r="N133" s="63" t="e" cm="1">
        <f t="array" aca="1" ref="N133"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33" s="38" t="e" cm="1">
        <f t="array" aca="1" ref="O133" ca="1">_xlfn.LET(
 _xlpm.raw,_xlfn.TEXTSPLIT(M133,CHAR(10)),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33" s="38"/>
      <c r="Q133" s="10" t="e">
        <f ca="1">INDEX(INDIRECT("RiskResid_"&amp;DocumentLanguage),MATCH(tbl_Risks[[#This Row],[Niveau Risque Inhérent
Inherent Risk Level]], INDIRECT("niv_risk_"&amp;DocumentLanguage), 0),MATCH(tbl_Risks[[#This Row],[Efficacité globale 
Global efficiency]], INDIRECT("effglob_"&amp;DocumentLanguage), 0))</f>
        <v>#N/A</v>
      </c>
      <c r="R133" s="38"/>
      <c r="S133" s="10" t="e">
        <f ca="1">INDEX(INDIRECT("RiskResid_"&amp;DocumentLanguage),MATCH(tbl_Risks[[#This Row],[Niveau Risque Inhérent
Inherent Risk Level]], INDIRECT("niv_risk_"&amp;DocumentLanguage), 0),MATCH(tbl_Risks[[#This Row],[Efficacité finale
Final efficiency]], INDIRECT("effglob_"&amp;DocumentLanguage), 0))</f>
        <v>#N/A</v>
      </c>
    </row>
    <row r="134" spans="1:19">
      <c r="A134" s="38"/>
      <c r="B134" s="38"/>
      <c r="C134" s="39" t="e" cm="1">
        <f t="array" aca="1" ref="C134" ca="1">INDIRECT("tbl_REF_Risques_TDSI[@[Risk Scenario Title "&amp;DocumentLanguage&amp;"]]")</f>
        <v>#REF!</v>
      </c>
      <c r="D134" s="39" t="e" cm="1">
        <f t="array" aca="1" ref="D134" ca="1">INDIRECT("tbl_REF_Risques_TDSI[@[Risk Scenario Description "&amp;DocumentLanguage&amp;"]]")</f>
        <v>#REF!</v>
      </c>
      <c r="E134" s="41"/>
      <c r="F134" s="39"/>
      <c r="G134" s="39"/>
      <c r="H134" s="39"/>
      <c r="I134" s="1" t="str" cm="1">
        <f t="array" aca="1" ref="I134"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34" s="39" t="e" cm="1">
        <f t="array" aca="1" ref="J134" ca="1">INDIRECT("tbl_REF_Risques_TDSI[@[Taxo Cause "&amp;DocumentLanguage&amp;"]]")</f>
        <v>#REF!</v>
      </c>
      <c r="K134" s="39" t="e" cm="1">
        <f t="array" aca="1" ref="K134" ca="1">INDIRECT("tbl_REF_Risques_TDSI[@[Taxo Risk "&amp;DocumentLanguage&amp;"]]")</f>
        <v>#REF!</v>
      </c>
      <c r="L134" s="39" t="e" cm="1">
        <f t="array" aca="1" ref="L134" ca="1">INDIRECT("tbl_REF_Risques_TDSI[@[Taxo Impact "&amp;DocumentLanguage&amp;"]]")</f>
        <v>#REF!</v>
      </c>
      <c r="M134" s="49"/>
      <c r="N134" s="63" t="e" cm="1">
        <f t="array" aca="1" ref="N134"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34" s="38" t="e" cm="1">
        <f t="array" aca="1" ref="O134" ca="1">_xlfn.LET(
 _xlpm.raw,_xlfn.TEXTSPLIT(M134,CHAR(10)),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34" s="38"/>
      <c r="Q134" s="10" t="e">
        <f ca="1">INDEX(INDIRECT("RiskResid_"&amp;DocumentLanguage),MATCH(tbl_Risks[[#This Row],[Niveau Risque Inhérent
Inherent Risk Level]], INDIRECT("niv_risk_"&amp;DocumentLanguage), 0),MATCH(tbl_Risks[[#This Row],[Efficacité globale 
Global efficiency]], INDIRECT("effglob_"&amp;DocumentLanguage), 0))</f>
        <v>#N/A</v>
      </c>
      <c r="R134" s="38"/>
      <c r="S134" s="10" t="e">
        <f ca="1">INDEX(INDIRECT("RiskResid_"&amp;DocumentLanguage),MATCH(tbl_Risks[[#This Row],[Niveau Risque Inhérent
Inherent Risk Level]], INDIRECT("niv_risk_"&amp;DocumentLanguage), 0),MATCH(tbl_Risks[[#This Row],[Efficacité finale
Final efficiency]], INDIRECT("effglob_"&amp;DocumentLanguage), 0))</f>
        <v>#N/A</v>
      </c>
    </row>
    <row r="135" spans="1:19">
      <c r="A135" s="38"/>
      <c r="B135" s="38"/>
      <c r="C135" s="39" t="e" cm="1">
        <f t="array" aca="1" ref="C135" ca="1">INDIRECT("tbl_REF_Risques_TDSI[@[Risk Scenario Title "&amp;DocumentLanguage&amp;"]]")</f>
        <v>#REF!</v>
      </c>
      <c r="D135" s="39" t="e" cm="1">
        <f t="array" aca="1" ref="D135" ca="1">INDIRECT("tbl_REF_Risques_TDSI[@[Risk Scenario Description "&amp;DocumentLanguage&amp;"]]")</f>
        <v>#REF!</v>
      </c>
      <c r="E135" s="41"/>
      <c r="F135" s="39"/>
      <c r="G135" s="39"/>
      <c r="H135" s="39"/>
      <c r="I135" s="1" t="str" cm="1">
        <f t="array" aca="1" ref="I135"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35" s="39" t="e" cm="1">
        <f t="array" aca="1" ref="J135" ca="1">INDIRECT("tbl_REF_Risques_TDSI[@[Taxo Cause "&amp;DocumentLanguage&amp;"]]")</f>
        <v>#REF!</v>
      </c>
      <c r="K135" s="39" t="e" cm="1">
        <f t="array" aca="1" ref="K135" ca="1">INDIRECT("tbl_REF_Risques_TDSI[@[Taxo Risk "&amp;DocumentLanguage&amp;"]]")</f>
        <v>#REF!</v>
      </c>
      <c r="L135" s="39" t="e" cm="1">
        <f t="array" aca="1" ref="L135" ca="1">INDIRECT("tbl_REF_Risques_TDSI[@[Taxo Impact "&amp;DocumentLanguage&amp;"]]")</f>
        <v>#REF!</v>
      </c>
      <c r="M135" s="49"/>
      <c r="N135" s="63" t="e" cm="1">
        <f t="array" aca="1" ref="N135"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35" s="38" t="e" cm="1">
        <f t="array" aca="1" ref="O135" ca="1">_xlfn.LET(
 _xlpm.raw,_xlfn.TEXTSPLIT(M135,CHAR(10)),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35" s="38"/>
      <c r="Q135" s="10" t="e">
        <f ca="1">INDEX(INDIRECT("RiskResid_"&amp;DocumentLanguage),MATCH(tbl_Risks[[#This Row],[Niveau Risque Inhérent
Inherent Risk Level]], INDIRECT("niv_risk_"&amp;DocumentLanguage), 0),MATCH(tbl_Risks[[#This Row],[Efficacité globale 
Global efficiency]], INDIRECT("effglob_"&amp;DocumentLanguage), 0))</f>
        <v>#N/A</v>
      </c>
      <c r="R135" s="38"/>
      <c r="S135" s="10" t="e">
        <f ca="1">INDEX(INDIRECT("RiskResid_"&amp;DocumentLanguage),MATCH(tbl_Risks[[#This Row],[Niveau Risque Inhérent
Inherent Risk Level]], INDIRECT("niv_risk_"&amp;DocumentLanguage), 0),MATCH(tbl_Risks[[#This Row],[Efficacité finale
Final efficiency]], INDIRECT("effglob_"&amp;DocumentLanguage), 0))</f>
        <v>#N/A</v>
      </c>
    </row>
    <row r="136" spans="1:19">
      <c r="A136" s="38"/>
      <c r="B136" s="38"/>
      <c r="C136" s="39" t="e" cm="1">
        <f t="array" aca="1" ref="C136" ca="1">INDIRECT("tbl_REF_Risques_TDSI[@[Risk Scenario Title "&amp;DocumentLanguage&amp;"]]")</f>
        <v>#REF!</v>
      </c>
      <c r="D136" s="39" t="e" cm="1">
        <f t="array" aca="1" ref="D136" ca="1">INDIRECT("tbl_REF_Risques_TDSI[@[Risk Scenario Description "&amp;DocumentLanguage&amp;"]]")</f>
        <v>#REF!</v>
      </c>
      <c r="E136" s="41"/>
      <c r="F136" s="39"/>
      <c r="G136" s="39"/>
      <c r="H136" s="39"/>
      <c r="I136" s="1" t="str" cm="1">
        <f t="array" aca="1" ref="I136"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36" s="39" t="e" cm="1">
        <f t="array" aca="1" ref="J136" ca="1">INDIRECT("tbl_REF_Risques_TDSI[@[Taxo Cause "&amp;DocumentLanguage&amp;"]]")</f>
        <v>#REF!</v>
      </c>
      <c r="K136" s="39" t="e" cm="1">
        <f t="array" aca="1" ref="K136" ca="1">INDIRECT("tbl_REF_Risques_TDSI[@[Taxo Risk "&amp;DocumentLanguage&amp;"]]")</f>
        <v>#REF!</v>
      </c>
      <c r="L136" s="39" t="e" cm="1">
        <f t="array" aca="1" ref="L136" ca="1">INDIRECT("tbl_REF_Risques_TDSI[@[Taxo Impact "&amp;DocumentLanguage&amp;"]]")</f>
        <v>#REF!</v>
      </c>
      <c r="M136" s="49"/>
      <c r="N136" s="63" t="e" cm="1">
        <f t="array" aca="1" ref="N136"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36" s="38" t="e" cm="1">
        <f t="array" aca="1" ref="O136" ca="1">_xlfn.LET(
 _xlpm.raw,_xlfn.TEXTSPLIT(M136,CHAR(10)),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36" s="38"/>
      <c r="Q136" s="10" t="e">
        <f ca="1">INDEX(INDIRECT("RiskResid_"&amp;DocumentLanguage),MATCH(tbl_Risks[[#This Row],[Niveau Risque Inhérent
Inherent Risk Level]], INDIRECT("niv_risk_"&amp;DocumentLanguage), 0),MATCH(tbl_Risks[[#This Row],[Efficacité globale 
Global efficiency]], INDIRECT("effglob_"&amp;DocumentLanguage), 0))</f>
        <v>#N/A</v>
      </c>
      <c r="R136" s="38"/>
      <c r="S136" s="10" t="e">
        <f ca="1">INDEX(INDIRECT("RiskResid_"&amp;DocumentLanguage),MATCH(tbl_Risks[[#This Row],[Niveau Risque Inhérent
Inherent Risk Level]], INDIRECT("niv_risk_"&amp;DocumentLanguage), 0),MATCH(tbl_Risks[[#This Row],[Efficacité finale
Final efficiency]], INDIRECT("effglob_"&amp;DocumentLanguage), 0))</f>
        <v>#N/A</v>
      </c>
    </row>
    <row r="137" spans="1:19">
      <c r="A137" s="38"/>
      <c r="B137" s="38"/>
      <c r="C137" s="39" t="e" cm="1">
        <f t="array" aca="1" ref="C137" ca="1">INDIRECT("tbl_REF_Risques_TDSI[@[Risk Scenario Title "&amp;DocumentLanguage&amp;"]]")</f>
        <v>#REF!</v>
      </c>
      <c r="D137" s="39" t="e" cm="1">
        <f t="array" aca="1" ref="D137" ca="1">INDIRECT("tbl_REF_Risques_TDSI[@[Risk Scenario Description "&amp;DocumentLanguage&amp;"]]")</f>
        <v>#REF!</v>
      </c>
      <c r="E137" s="41"/>
      <c r="F137" s="39"/>
      <c r="G137" s="39"/>
      <c r="H137" s="39"/>
      <c r="I137" s="1" t="str" cm="1">
        <f t="array" aca="1" ref="I137"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37" s="39" t="e" cm="1">
        <f t="array" aca="1" ref="J137" ca="1">INDIRECT("tbl_REF_Risques_TDSI[@[Taxo Cause "&amp;DocumentLanguage&amp;"]]")</f>
        <v>#REF!</v>
      </c>
      <c r="K137" s="39" t="e" cm="1">
        <f t="array" aca="1" ref="K137" ca="1">INDIRECT("tbl_REF_Risques_TDSI[@[Taxo Risk "&amp;DocumentLanguage&amp;"]]")</f>
        <v>#REF!</v>
      </c>
      <c r="L137" s="39" t="e" cm="1">
        <f t="array" aca="1" ref="L137" ca="1">INDIRECT("tbl_REF_Risques_TDSI[@[Taxo Impact "&amp;DocumentLanguage&amp;"]]")</f>
        <v>#REF!</v>
      </c>
      <c r="M137" s="49"/>
      <c r="N137" s="63" t="e" cm="1">
        <f t="array" aca="1" ref="N137"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37" s="38" t="e" cm="1">
        <f t="array" aca="1" ref="O137" ca="1">_xlfn.LET(
 _xlpm.raw,_xlfn.TEXTSPLIT(M137,CHAR(10)),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37" s="38"/>
      <c r="Q137" s="10" t="e">
        <f ca="1">INDEX(INDIRECT("RiskResid_"&amp;DocumentLanguage),MATCH(tbl_Risks[[#This Row],[Niveau Risque Inhérent
Inherent Risk Level]], INDIRECT("niv_risk_"&amp;DocumentLanguage), 0),MATCH(tbl_Risks[[#This Row],[Efficacité globale 
Global efficiency]], INDIRECT("effglob_"&amp;DocumentLanguage), 0))</f>
        <v>#N/A</v>
      </c>
      <c r="R137" s="38"/>
      <c r="S137" s="10" t="e">
        <f ca="1">INDEX(INDIRECT("RiskResid_"&amp;DocumentLanguage),MATCH(tbl_Risks[[#This Row],[Niveau Risque Inhérent
Inherent Risk Level]], INDIRECT("niv_risk_"&amp;DocumentLanguage), 0),MATCH(tbl_Risks[[#This Row],[Efficacité finale
Final efficiency]], INDIRECT("effglob_"&amp;DocumentLanguage), 0))</f>
        <v>#N/A</v>
      </c>
    </row>
    <row r="138" spans="1:19">
      <c r="A138" s="38"/>
      <c r="B138" s="38"/>
      <c r="C138" s="39" t="e" cm="1">
        <f t="array" aca="1" ref="C138" ca="1">INDIRECT("tbl_REF_Risques_TDSI[@[Risk Scenario Title "&amp;DocumentLanguage&amp;"]]")</f>
        <v>#REF!</v>
      </c>
      <c r="D138" s="39" t="e" cm="1">
        <f t="array" aca="1" ref="D138" ca="1">INDIRECT("tbl_REF_Risques_TDSI[@[Risk Scenario Description "&amp;DocumentLanguage&amp;"]]")</f>
        <v>#REF!</v>
      </c>
      <c r="E138" s="41"/>
      <c r="F138" s="39"/>
      <c r="G138" s="39"/>
      <c r="H138" s="39"/>
      <c r="I138" s="1" t="str" cm="1">
        <f t="array" aca="1" ref="I138"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38" s="39" t="e" cm="1">
        <f t="array" aca="1" ref="J138" ca="1">INDIRECT("tbl_REF_Risques_TDSI[@[Taxo Cause "&amp;DocumentLanguage&amp;"]]")</f>
        <v>#REF!</v>
      </c>
      <c r="K138" s="39" t="e" cm="1">
        <f t="array" aca="1" ref="K138" ca="1">INDIRECT("tbl_REF_Risques_TDSI[@[Taxo Risk "&amp;DocumentLanguage&amp;"]]")</f>
        <v>#REF!</v>
      </c>
      <c r="L138" s="39" t="e" cm="1">
        <f t="array" aca="1" ref="L138" ca="1">INDIRECT("tbl_REF_Risques_TDSI[@[Taxo Impact "&amp;DocumentLanguage&amp;"]]")</f>
        <v>#REF!</v>
      </c>
      <c r="M138" s="49"/>
      <c r="N138" s="63" t="e" cm="1">
        <f t="array" aca="1" ref="N138"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38" s="38" t="e" cm="1">
        <f t="array" aca="1" ref="O138" ca="1">_xlfn.LET(
 _xlpm.raw,_xlfn.TEXTSPLIT(M138,CHAR(10)),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38" s="38"/>
      <c r="Q138" s="10" t="e">
        <f ca="1">INDEX(INDIRECT("RiskResid_"&amp;DocumentLanguage),MATCH(tbl_Risks[[#This Row],[Niveau Risque Inhérent
Inherent Risk Level]], INDIRECT("niv_risk_"&amp;DocumentLanguage), 0),MATCH(tbl_Risks[[#This Row],[Efficacité globale 
Global efficiency]], INDIRECT("effglob_"&amp;DocumentLanguage), 0))</f>
        <v>#N/A</v>
      </c>
      <c r="R138" s="38"/>
      <c r="S138" s="10" t="e">
        <f ca="1">INDEX(INDIRECT("RiskResid_"&amp;DocumentLanguage),MATCH(tbl_Risks[[#This Row],[Niveau Risque Inhérent
Inherent Risk Level]], INDIRECT("niv_risk_"&amp;DocumentLanguage), 0),MATCH(tbl_Risks[[#This Row],[Efficacité finale
Final efficiency]], INDIRECT("effglob_"&amp;DocumentLanguage), 0))</f>
        <v>#N/A</v>
      </c>
    </row>
    <row r="139" spans="1:19">
      <c r="A139" s="38"/>
      <c r="B139" s="38"/>
      <c r="C139" s="39" t="e" cm="1">
        <f t="array" aca="1" ref="C139" ca="1">INDIRECT("tbl_REF_Risques_TDSI[@[Risk Scenario Title "&amp;DocumentLanguage&amp;"]]")</f>
        <v>#REF!</v>
      </c>
      <c r="D139" s="39" t="e" cm="1">
        <f t="array" aca="1" ref="D139" ca="1">INDIRECT("tbl_REF_Risques_TDSI[@[Risk Scenario Description "&amp;DocumentLanguage&amp;"]]")</f>
        <v>#REF!</v>
      </c>
      <c r="E139" s="41"/>
      <c r="F139" s="39"/>
      <c r="G139" s="39"/>
      <c r="H139" s="39"/>
      <c r="I139" s="1" t="str" cm="1">
        <f t="array" aca="1" ref="I139"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39" s="39" t="e" cm="1">
        <f t="array" aca="1" ref="J139" ca="1">INDIRECT("tbl_REF_Risques_TDSI[@[Taxo Cause "&amp;DocumentLanguage&amp;"]]")</f>
        <v>#REF!</v>
      </c>
      <c r="K139" s="39" t="e" cm="1">
        <f t="array" aca="1" ref="K139" ca="1">INDIRECT("tbl_REF_Risques_TDSI[@[Taxo Risk "&amp;DocumentLanguage&amp;"]]")</f>
        <v>#REF!</v>
      </c>
      <c r="L139" s="39" t="e" cm="1">
        <f t="array" aca="1" ref="L139" ca="1">INDIRECT("tbl_REF_Risques_TDSI[@[Taxo Impact "&amp;DocumentLanguage&amp;"]]")</f>
        <v>#REF!</v>
      </c>
      <c r="M139" s="49"/>
      <c r="N139" s="63" t="e" cm="1">
        <f t="array" aca="1" ref="N139"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39" s="38" t="e" cm="1">
        <f t="array" aca="1" ref="O139" ca="1">_xlfn.LET(
 _xlpm.raw,_xlfn.TEXTSPLIT(M139,CHAR(10)),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39" s="38"/>
      <c r="Q139" s="10" t="e">
        <f ca="1">INDEX(INDIRECT("RiskResid_"&amp;DocumentLanguage),MATCH(tbl_Risks[[#This Row],[Niveau Risque Inhérent
Inherent Risk Level]], INDIRECT("niv_risk_"&amp;DocumentLanguage), 0),MATCH(tbl_Risks[[#This Row],[Efficacité globale 
Global efficiency]], INDIRECT("effglob_"&amp;DocumentLanguage), 0))</f>
        <v>#N/A</v>
      </c>
      <c r="R139" s="38"/>
      <c r="S139" s="10" t="e">
        <f ca="1">INDEX(INDIRECT("RiskResid_"&amp;DocumentLanguage),MATCH(tbl_Risks[[#This Row],[Niveau Risque Inhérent
Inherent Risk Level]], INDIRECT("niv_risk_"&amp;DocumentLanguage), 0),MATCH(tbl_Risks[[#This Row],[Efficacité finale
Final efficiency]], INDIRECT("effglob_"&amp;DocumentLanguage), 0))</f>
        <v>#N/A</v>
      </c>
    </row>
    <row r="140" spans="1:19">
      <c r="A140" s="38"/>
      <c r="B140" s="38"/>
      <c r="C140" s="39" t="e" cm="1">
        <f t="array" aca="1" ref="C140" ca="1">INDIRECT("tbl_REF_Risques_TDSI[@[Risk Scenario Title "&amp;DocumentLanguage&amp;"]]")</f>
        <v>#REF!</v>
      </c>
      <c r="D140" s="39" t="e" cm="1">
        <f t="array" aca="1" ref="D140" ca="1">INDIRECT("tbl_REF_Risques_TDSI[@[Risk Scenario Description "&amp;DocumentLanguage&amp;"]]")</f>
        <v>#REF!</v>
      </c>
      <c r="E140" s="41"/>
      <c r="F140" s="39"/>
      <c r="G140" s="39"/>
      <c r="H140" s="39"/>
      <c r="I140" s="1" t="str" cm="1">
        <f t="array" aca="1" ref="I140"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40" s="39" t="e" cm="1">
        <f t="array" aca="1" ref="J140" ca="1">INDIRECT("tbl_REF_Risques_TDSI[@[Taxo Cause "&amp;DocumentLanguage&amp;"]]")</f>
        <v>#REF!</v>
      </c>
      <c r="K140" s="39" t="e" cm="1">
        <f t="array" aca="1" ref="K140" ca="1">INDIRECT("tbl_REF_Risques_TDSI[@[Taxo Risk "&amp;DocumentLanguage&amp;"]]")</f>
        <v>#REF!</v>
      </c>
      <c r="L140" s="39" t="e" cm="1">
        <f t="array" aca="1" ref="L140" ca="1">INDIRECT("tbl_REF_Risques_TDSI[@[Taxo Impact "&amp;DocumentLanguage&amp;"]]")</f>
        <v>#REF!</v>
      </c>
      <c r="M140" s="49"/>
      <c r="N140" s="63" t="e" cm="1">
        <f t="array" aca="1" ref="N140"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40" s="38" t="e" cm="1">
        <f t="array" aca="1" ref="O140" ca="1">_xlfn.LET(
 _xlpm.raw,_xlfn.TEXTSPLIT(M140,CHAR(10)),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40" s="38"/>
      <c r="Q140" s="10" t="e">
        <f ca="1">INDEX(INDIRECT("RiskResid_"&amp;DocumentLanguage),MATCH(tbl_Risks[[#This Row],[Niveau Risque Inhérent
Inherent Risk Level]], INDIRECT("niv_risk_"&amp;DocumentLanguage), 0),MATCH(tbl_Risks[[#This Row],[Efficacité globale 
Global efficiency]], INDIRECT("effglob_"&amp;DocumentLanguage), 0))</f>
        <v>#N/A</v>
      </c>
      <c r="R140" s="38"/>
      <c r="S140" s="10" t="e">
        <f ca="1">INDEX(INDIRECT("RiskResid_"&amp;DocumentLanguage),MATCH(tbl_Risks[[#This Row],[Niveau Risque Inhérent
Inherent Risk Level]], INDIRECT("niv_risk_"&amp;DocumentLanguage), 0),MATCH(tbl_Risks[[#This Row],[Efficacité finale
Final efficiency]], INDIRECT("effglob_"&amp;DocumentLanguage), 0))</f>
        <v>#N/A</v>
      </c>
    </row>
    <row r="141" spans="1:19">
      <c r="A141" s="38"/>
      <c r="B141" s="38"/>
      <c r="C141" s="39" t="e" cm="1">
        <f t="array" aca="1" ref="C141" ca="1">INDIRECT("tbl_REF_Risques_TDSI[@[Risk Scenario Title "&amp;DocumentLanguage&amp;"]]")</f>
        <v>#REF!</v>
      </c>
      <c r="D141" s="39" t="e" cm="1">
        <f t="array" aca="1" ref="D141" ca="1">INDIRECT("tbl_REF_Risques_TDSI[@[Risk Scenario Description "&amp;DocumentLanguage&amp;"]]")</f>
        <v>#REF!</v>
      </c>
      <c r="E141" s="41"/>
      <c r="F141" s="39"/>
      <c r="G141" s="39"/>
      <c r="H141" s="39"/>
      <c r="I141" s="1" t="str" cm="1">
        <f t="array" aca="1" ref="I141"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41" s="39" t="e" cm="1">
        <f t="array" aca="1" ref="J141" ca="1">INDIRECT("tbl_REF_Risques_TDSI[@[Taxo Cause "&amp;DocumentLanguage&amp;"]]")</f>
        <v>#REF!</v>
      </c>
      <c r="K141" s="39" t="e" cm="1">
        <f t="array" aca="1" ref="K141" ca="1">INDIRECT("tbl_REF_Risques_TDSI[@[Taxo Risk "&amp;DocumentLanguage&amp;"]]")</f>
        <v>#REF!</v>
      </c>
      <c r="L141" s="39" t="e" cm="1">
        <f t="array" aca="1" ref="L141" ca="1">INDIRECT("tbl_REF_Risques_TDSI[@[Taxo Impact "&amp;DocumentLanguage&amp;"]]")</f>
        <v>#REF!</v>
      </c>
      <c r="M141" s="49"/>
      <c r="N141" s="63" t="e" cm="1">
        <f t="array" aca="1" ref="N141"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41" s="38" t="e" cm="1">
        <f t="array" aca="1" ref="O141" ca="1">_xlfn.LET(
 _xlpm.raw,_xlfn.TEXTSPLIT(M141,CHAR(10)),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41" s="38"/>
      <c r="Q141" s="10" t="e">
        <f ca="1">INDEX(INDIRECT("RiskResid_"&amp;DocumentLanguage),MATCH(tbl_Risks[[#This Row],[Niveau Risque Inhérent
Inherent Risk Level]], INDIRECT("niv_risk_"&amp;DocumentLanguage), 0),MATCH(tbl_Risks[[#This Row],[Efficacité globale 
Global efficiency]], INDIRECT("effglob_"&amp;DocumentLanguage), 0))</f>
        <v>#N/A</v>
      </c>
      <c r="R141" s="38"/>
      <c r="S141" s="10" t="e">
        <f ca="1">INDEX(INDIRECT("RiskResid_"&amp;DocumentLanguage),MATCH(tbl_Risks[[#This Row],[Niveau Risque Inhérent
Inherent Risk Level]], INDIRECT("niv_risk_"&amp;DocumentLanguage), 0),MATCH(tbl_Risks[[#This Row],[Efficacité finale
Final efficiency]], INDIRECT("effglob_"&amp;DocumentLanguage), 0))</f>
        <v>#N/A</v>
      </c>
    </row>
    <row r="142" spans="1:19">
      <c r="A142" s="38"/>
      <c r="B142" s="38"/>
      <c r="C142" s="39" t="e" cm="1">
        <f t="array" aca="1" ref="C142" ca="1">INDIRECT("tbl_REF_Risques_TDSI[@[Risk Scenario Title "&amp;DocumentLanguage&amp;"]]")</f>
        <v>#REF!</v>
      </c>
      <c r="D142" s="39" t="e" cm="1">
        <f t="array" aca="1" ref="D142" ca="1">INDIRECT("tbl_REF_Risques_TDSI[@[Risk Scenario Description "&amp;DocumentLanguage&amp;"]]")</f>
        <v>#REF!</v>
      </c>
      <c r="E142" s="41"/>
      <c r="F142" s="39"/>
      <c r="G142" s="39"/>
      <c r="H142" s="39"/>
      <c r="I142" s="1" t="str" cm="1">
        <f t="array" aca="1" ref="I142"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42" s="39" t="e" cm="1">
        <f t="array" aca="1" ref="J142" ca="1">INDIRECT("tbl_REF_Risques_TDSI[@[Taxo Cause "&amp;DocumentLanguage&amp;"]]")</f>
        <v>#REF!</v>
      </c>
      <c r="K142" s="39" t="e" cm="1">
        <f t="array" aca="1" ref="K142" ca="1">INDIRECT("tbl_REF_Risques_TDSI[@[Taxo Risk "&amp;DocumentLanguage&amp;"]]")</f>
        <v>#REF!</v>
      </c>
      <c r="L142" s="39" t="e" cm="1">
        <f t="array" aca="1" ref="L142" ca="1">INDIRECT("tbl_REF_Risques_TDSI[@[Taxo Impact "&amp;DocumentLanguage&amp;"]]")</f>
        <v>#REF!</v>
      </c>
      <c r="M142" s="49"/>
      <c r="N142" s="63" t="e" cm="1">
        <f t="array" aca="1" ref="N142"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42" s="38" t="e" cm="1">
        <f t="array" aca="1" ref="O142" ca="1">_xlfn.LET(
 _xlpm.raw,_xlfn.TEXTSPLIT(M142,CHAR(10)),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42" s="38"/>
      <c r="Q142" s="10" t="e">
        <f ca="1">INDEX(INDIRECT("RiskResid_"&amp;DocumentLanguage),MATCH(tbl_Risks[[#This Row],[Niveau Risque Inhérent
Inherent Risk Level]], INDIRECT("niv_risk_"&amp;DocumentLanguage), 0),MATCH(tbl_Risks[[#This Row],[Efficacité globale 
Global efficiency]], INDIRECT("effglob_"&amp;DocumentLanguage), 0))</f>
        <v>#N/A</v>
      </c>
      <c r="R142" s="38"/>
      <c r="S142" s="10" t="e">
        <f ca="1">INDEX(INDIRECT("RiskResid_"&amp;DocumentLanguage),MATCH(tbl_Risks[[#This Row],[Niveau Risque Inhérent
Inherent Risk Level]], INDIRECT("niv_risk_"&amp;DocumentLanguage), 0),MATCH(tbl_Risks[[#This Row],[Efficacité finale
Final efficiency]], INDIRECT("effglob_"&amp;DocumentLanguage), 0))</f>
        <v>#N/A</v>
      </c>
    </row>
    <row r="143" spans="1:19">
      <c r="A143" s="38"/>
      <c r="B143" s="38"/>
      <c r="C143" s="39" t="e" cm="1">
        <f t="array" aca="1" ref="C143" ca="1">INDIRECT("tbl_REF_Risques_TDSI[@[Risk Scenario Title "&amp;DocumentLanguage&amp;"]]")</f>
        <v>#REF!</v>
      </c>
      <c r="D143" s="39" t="e" cm="1">
        <f t="array" aca="1" ref="D143" ca="1">INDIRECT("tbl_REF_Risques_TDSI[@[Risk Scenario Description "&amp;DocumentLanguage&amp;"]]")</f>
        <v>#REF!</v>
      </c>
      <c r="E143" s="41"/>
      <c r="F143" s="39"/>
      <c r="G143" s="39"/>
      <c r="H143" s="39"/>
      <c r="I143" s="1" t="str" cm="1">
        <f t="array" aca="1" ref="I143"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43" s="39" t="e" cm="1">
        <f t="array" aca="1" ref="J143" ca="1">INDIRECT("tbl_REF_Risques_TDSI[@[Taxo Cause "&amp;DocumentLanguage&amp;"]]")</f>
        <v>#REF!</v>
      </c>
      <c r="K143" s="39" t="e" cm="1">
        <f t="array" aca="1" ref="K143" ca="1">INDIRECT("tbl_REF_Risques_TDSI[@[Taxo Risk "&amp;DocumentLanguage&amp;"]]")</f>
        <v>#REF!</v>
      </c>
      <c r="L143" s="39" t="e" cm="1">
        <f t="array" aca="1" ref="L143" ca="1">INDIRECT("tbl_REF_Risques_TDSI[@[Taxo Impact "&amp;DocumentLanguage&amp;"]]")</f>
        <v>#REF!</v>
      </c>
      <c r="M143" s="49"/>
      <c r="N143" s="63" t="e" cm="1">
        <f t="array" aca="1" ref="N143"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43" s="38" t="e" cm="1">
        <f t="array" aca="1" ref="O143" ca="1">_xlfn.LET(
 _xlpm.raw,_xlfn.TEXTSPLIT(M143,CHAR(10)),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43" s="38"/>
      <c r="Q143" s="10" t="e">
        <f ca="1">INDEX(INDIRECT("RiskResid_"&amp;DocumentLanguage),MATCH(tbl_Risks[[#This Row],[Niveau Risque Inhérent
Inherent Risk Level]], INDIRECT("niv_risk_"&amp;DocumentLanguage), 0),MATCH(tbl_Risks[[#This Row],[Efficacité globale 
Global efficiency]], INDIRECT("effglob_"&amp;DocumentLanguage), 0))</f>
        <v>#N/A</v>
      </c>
      <c r="R143" s="38"/>
      <c r="S143" s="10" t="e">
        <f ca="1">INDEX(INDIRECT("RiskResid_"&amp;DocumentLanguage),MATCH(tbl_Risks[[#This Row],[Niveau Risque Inhérent
Inherent Risk Level]], INDIRECT("niv_risk_"&amp;DocumentLanguage), 0),MATCH(tbl_Risks[[#This Row],[Efficacité finale
Final efficiency]], INDIRECT("effglob_"&amp;DocumentLanguage), 0))</f>
        <v>#N/A</v>
      </c>
    </row>
    <row r="144" spans="1:19">
      <c r="A144" s="38"/>
      <c r="B144" s="38"/>
      <c r="C144" s="39" t="e" cm="1">
        <f t="array" aca="1" ref="C144" ca="1">INDIRECT("tbl_REF_Risques_TDSI[@[Risk Scenario Title "&amp;DocumentLanguage&amp;"]]")</f>
        <v>#REF!</v>
      </c>
      <c r="D144" s="39" t="e" cm="1">
        <f t="array" aca="1" ref="D144" ca="1">INDIRECT("tbl_REF_Risques_TDSI[@[Risk Scenario Description "&amp;DocumentLanguage&amp;"]]")</f>
        <v>#REF!</v>
      </c>
      <c r="E144" s="41"/>
      <c r="F144" s="39"/>
      <c r="G144" s="39"/>
      <c r="H144" s="39"/>
      <c r="I144" s="1" t="str" cm="1">
        <f t="array" aca="1" ref="I144"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44" s="39" t="e" cm="1">
        <f t="array" aca="1" ref="J144" ca="1">INDIRECT("tbl_REF_Risques_TDSI[@[Taxo Cause "&amp;DocumentLanguage&amp;"]]")</f>
        <v>#REF!</v>
      </c>
      <c r="K144" s="39" t="e" cm="1">
        <f t="array" aca="1" ref="K144" ca="1">INDIRECT("tbl_REF_Risques_TDSI[@[Taxo Risk "&amp;DocumentLanguage&amp;"]]")</f>
        <v>#REF!</v>
      </c>
      <c r="L144" s="39" t="e" cm="1">
        <f t="array" aca="1" ref="L144" ca="1">INDIRECT("tbl_REF_Risques_TDSI[@[Taxo Impact "&amp;DocumentLanguage&amp;"]]")</f>
        <v>#REF!</v>
      </c>
      <c r="M144" s="49"/>
      <c r="N144" s="63" t="e" cm="1">
        <f t="array" aca="1" ref="N144"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44" s="38" t="e" cm="1">
        <f t="array" aca="1" ref="O144" ca="1">_xlfn.LET(
 _xlpm.raw,_xlfn.TEXTSPLIT(M144,CHAR(10)),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44" s="38"/>
      <c r="Q144" s="10" t="e">
        <f ca="1">INDEX(INDIRECT("RiskResid_"&amp;DocumentLanguage),MATCH(tbl_Risks[[#This Row],[Niveau Risque Inhérent
Inherent Risk Level]], INDIRECT("niv_risk_"&amp;DocumentLanguage), 0),MATCH(tbl_Risks[[#This Row],[Efficacité globale 
Global efficiency]], INDIRECT("effglob_"&amp;DocumentLanguage), 0))</f>
        <v>#N/A</v>
      </c>
      <c r="R144" s="38"/>
      <c r="S144" s="10" t="e">
        <f ca="1">INDEX(INDIRECT("RiskResid_"&amp;DocumentLanguage),MATCH(tbl_Risks[[#This Row],[Niveau Risque Inhérent
Inherent Risk Level]], INDIRECT("niv_risk_"&amp;DocumentLanguage), 0),MATCH(tbl_Risks[[#This Row],[Efficacité finale
Final efficiency]], INDIRECT("effglob_"&amp;DocumentLanguage), 0))</f>
        <v>#N/A</v>
      </c>
    </row>
    <row r="145" spans="1:19">
      <c r="A145" s="38"/>
      <c r="B145" s="38"/>
      <c r="C145" s="39" t="e" cm="1">
        <f t="array" aca="1" ref="C145" ca="1">INDIRECT("tbl_REF_Risques_TDSI[@[Risk Scenario Title "&amp;DocumentLanguage&amp;"]]")</f>
        <v>#REF!</v>
      </c>
      <c r="D145" s="39" t="e" cm="1">
        <f t="array" aca="1" ref="D145" ca="1">INDIRECT("tbl_REF_Risques_TDSI[@[Risk Scenario Description "&amp;DocumentLanguage&amp;"]]")</f>
        <v>#REF!</v>
      </c>
      <c r="E145" s="41"/>
      <c r="F145" s="39"/>
      <c r="G145" s="39"/>
      <c r="H145" s="39"/>
      <c r="I145" s="1" t="str" cm="1">
        <f t="array" aca="1" ref="I145"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45" s="39" t="e" cm="1">
        <f t="array" aca="1" ref="J145" ca="1">INDIRECT("tbl_REF_Risques_TDSI[@[Taxo Cause "&amp;DocumentLanguage&amp;"]]")</f>
        <v>#REF!</v>
      </c>
      <c r="K145" s="39" t="e" cm="1">
        <f t="array" aca="1" ref="K145" ca="1">INDIRECT("tbl_REF_Risques_TDSI[@[Taxo Risk "&amp;DocumentLanguage&amp;"]]")</f>
        <v>#REF!</v>
      </c>
      <c r="L145" s="39" t="e" cm="1">
        <f t="array" aca="1" ref="L145" ca="1">INDIRECT("tbl_REF_Risques_TDSI[@[Taxo Impact "&amp;DocumentLanguage&amp;"]]")</f>
        <v>#REF!</v>
      </c>
      <c r="M145" s="49"/>
      <c r="N145" s="63" t="e" cm="1">
        <f t="array" aca="1" ref="N145"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45" s="38" t="e" cm="1">
        <f t="array" aca="1" ref="O145" ca="1">_xlfn.LET(
 _xlpm.raw,_xlfn.TEXTSPLIT(M145,CHAR(10)),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45" s="38"/>
      <c r="Q145" s="10" t="e">
        <f ca="1">INDEX(INDIRECT("RiskResid_"&amp;DocumentLanguage),MATCH(tbl_Risks[[#This Row],[Niveau Risque Inhérent
Inherent Risk Level]], INDIRECT("niv_risk_"&amp;DocumentLanguage), 0),MATCH(tbl_Risks[[#This Row],[Efficacité globale 
Global efficiency]], INDIRECT("effglob_"&amp;DocumentLanguage), 0))</f>
        <v>#N/A</v>
      </c>
      <c r="R145" s="38"/>
      <c r="S145" s="10" t="e">
        <f ca="1">INDEX(INDIRECT("RiskResid_"&amp;DocumentLanguage),MATCH(tbl_Risks[[#This Row],[Niveau Risque Inhérent
Inherent Risk Level]], INDIRECT("niv_risk_"&amp;DocumentLanguage), 0),MATCH(tbl_Risks[[#This Row],[Efficacité finale
Final efficiency]], INDIRECT("effglob_"&amp;DocumentLanguage), 0))</f>
        <v>#N/A</v>
      </c>
    </row>
    <row r="146" spans="1:19">
      <c r="A146" s="38"/>
      <c r="B146" s="38"/>
      <c r="C146" s="39" t="e" cm="1">
        <f t="array" aca="1" ref="C146" ca="1">INDIRECT("tbl_REF_Risques_TDSI[@[Risk Scenario Title "&amp;DocumentLanguage&amp;"]]")</f>
        <v>#REF!</v>
      </c>
      <c r="D146" s="39" t="e" cm="1">
        <f t="array" aca="1" ref="D146" ca="1">INDIRECT("tbl_REF_Risques_TDSI[@[Risk Scenario Description "&amp;DocumentLanguage&amp;"]]")</f>
        <v>#REF!</v>
      </c>
      <c r="E146" s="41"/>
      <c r="F146" s="39"/>
      <c r="G146" s="39"/>
      <c r="H146" s="39"/>
      <c r="I146" s="1" t="str" cm="1">
        <f t="array" aca="1" ref="I146"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46" s="39" t="e" cm="1">
        <f t="array" aca="1" ref="J146" ca="1">INDIRECT("tbl_REF_Risques_TDSI[@[Taxo Cause "&amp;DocumentLanguage&amp;"]]")</f>
        <v>#REF!</v>
      </c>
      <c r="K146" s="39" t="e" cm="1">
        <f t="array" aca="1" ref="K146" ca="1">INDIRECT("tbl_REF_Risques_TDSI[@[Taxo Risk "&amp;DocumentLanguage&amp;"]]")</f>
        <v>#REF!</v>
      </c>
      <c r="L146" s="39" t="e" cm="1">
        <f t="array" aca="1" ref="L146" ca="1">INDIRECT("tbl_REF_Risques_TDSI[@[Taxo Impact "&amp;DocumentLanguage&amp;"]]")</f>
        <v>#REF!</v>
      </c>
      <c r="M146" s="49"/>
      <c r="N146" s="63" t="e" cm="1">
        <f t="array" aca="1" ref="N146"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46" s="38" t="e" cm="1">
        <f t="array" aca="1" ref="O146" ca="1">_xlfn.LET(
 _xlpm.raw,_xlfn.TEXTSPLIT(M146,CHAR(10)),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46" s="38"/>
      <c r="Q146" s="10" t="e">
        <f ca="1">INDEX(INDIRECT("RiskResid_"&amp;DocumentLanguage),MATCH(tbl_Risks[[#This Row],[Niveau Risque Inhérent
Inherent Risk Level]], INDIRECT("niv_risk_"&amp;DocumentLanguage), 0),MATCH(tbl_Risks[[#This Row],[Efficacité globale 
Global efficiency]], INDIRECT("effglob_"&amp;DocumentLanguage), 0))</f>
        <v>#N/A</v>
      </c>
      <c r="R146" s="38"/>
      <c r="S146" s="10" t="e">
        <f ca="1">INDEX(INDIRECT("RiskResid_"&amp;DocumentLanguage),MATCH(tbl_Risks[[#This Row],[Niveau Risque Inhérent
Inherent Risk Level]], INDIRECT("niv_risk_"&amp;DocumentLanguage), 0),MATCH(tbl_Risks[[#This Row],[Efficacité finale
Final efficiency]], INDIRECT("effglob_"&amp;DocumentLanguage), 0))</f>
        <v>#N/A</v>
      </c>
    </row>
    <row r="147" spans="1:19">
      <c r="A147" s="38"/>
      <c r="B147" s="38"/>
      <c r="C147" s="39" t="e" cm="1">
        <f t="array" aca="1" ref="C147" ca="1">INDIRECT("tbl_REF_Risques_TDSI[@[Risk Scenario Title "&amp;DocumentLanguage&amp;"]]")</f>
        <v>#REF!</v>
      </c>
      <c r="D147" s="39" t="e" cm="1">
        <f t="array" aca="1" ref="D147" ca="1">INDIRECT("tbl_REF_Risques_TDSI[@[Risk Scenario Description "&amp;DocumentLanguage&amp;"]]")</f>
        <v>#REF!</v>
      </c>
      <c r="E147" s="41"/>
      <c r="F147" s="39"/>
      <c r="G147" s="39"/>
      <c r="H147" s="39"/>
      <c r="I147" s="1" t="str" cm="1">
        <f t="array" aca="1" ref="I147"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47" s="39" t="e" cm="1">
        <f t="array" aca="1" ref="J147" ca="1">INDIRECT("tbl_REF_Risques_TDSI[@[Taxo Cause "&amp;DocumentLanguage&amp;"]]")</f>
        <v>#REF!</v>
      </c>
      <c r="K147" s="39" t="e" cm="1">
        <f t="array" aca="1" ref="K147" ca="1">INDIRECT("tbl_REF_Risques_TDSI[@[Taxo Risk "&amp;DocumentLanguage&amp;"]]")</f>
        <v>#REF!</v>
      </c>
      <c r="L147" s="39" t="e" cm="1">
        <f t="array" aca="1" ref="L147" ca="1">INDIRECT("tbl_REF_Risques_TDSI[@[Taxo Impact "&amp;DocumentLanguage&amp;"]]")</f>
        <v>#REF!</v>
      </c>
      <c r="M147" s="49"/>
      <c r="N147" s="63" t="e" cm="1">
        <f t="array" aca="1" ref="N147"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47" s="38" t="e" cm="1">
        <f t="array" aca="1" ref="O147" ca="1">_xlfn.LET(
 _xlpm.raw,_xlfn.TEXTSPLIT(M147,CHAR(10)),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47" s="38"/>
      <c r="Q147" s="10" t="e">
        <f ca="1">INDEX(INDIRECT("RiskResid_"&amp;DocumentLanguage),MATCH(tbl_Risks[[#This Row],[Niveau Risque Inhérent
Inherent Risk Level]], INDIRECT("niv_risk_"&amp;DocumentLanguage), 0),MATCH(tbl_Risks[[#This Row],[Efficacité globale 
Global efficiency]], INDIRECT("effglob_"&amp;DocumentLanguage), 0))</f>
        <v>#N/A</v>
      </c>
      <c r="R147" s="38"/>
      <c r="S147" s="10" t="e">
        <f ca="1">INDEX(INDIRECT("RiskResid_"&amp;DocumentLanguage),MATCH(tbl_Risks[[#This Row],[Niveau Risque Inhérent
Inherent Risk Level]], INDIRECT("niv_risk_"&amp;DocumentLanguage), 0),MATCH(tbl_Risks[[#This Row],[Efficacité finale
Final efficiency]], INDIRECT("effglob_"&amp;DocumentLanguage), 0))</f>
        <v>#N/A</v>
      </c>
    </row>
    <row r="148" spans="1:19">
      <c r="A148" s="38"/>
      <c r="B148" s="38"/>
      <c r="C148" s="39" t="e" cm="1">
        <f t="array" aca="1" ref="C148" ca="1">INDIRECT("tbl_REF_Risques_TDSI[@[Risk Scenario Title "&amp;DocumentLanguage&amp;"]]")</f>
        <v>#REF!</v>
      </c>
      <c r="D148" s="39" t="e" cm="1">
        <f t="array" aca="1" ref="D148" ca="1">INDIRECT("tbl_REF_Risques_TDSI[@[Risk Scenario Description "&amp;DocumentLanguage&amp;"]]")</f>
        <v>#REF!</v>
      </c>
      <c r="E148" s="41"/>
      <c r="F148" s="39"/>
      <c r="G148" s="39"/>
      <c r="H148" s="39"/>
      <c r="I148" s="1" t="str" cm="1">
        <f t="array" aca="1" ref="I148"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48" s="39" t="e" cm="1">
        <f t="array" aca="1" ref="J148" ca="1">INDIRECT("tbl_REF_Risques_TDSI[@[Taxo Cause "&amp;DocumentLanguage&amp;"]]")</f>
        <v>#REF!</v>
      </c>
      <c r="K148" s="39" t="e" cm="1">
        <f t="array" aca="1" ref="K148" ca="1">INDIRECT("tbl_REF_Risques_TDSI[@[Taxo Risk "&amp;DocumentLanguage&amp;"]]")</f>
        <v>#REF!</v>
      </c>
      <c r="L148" s="39" t="e" cm="1">
        <f t="array" aca="1" ref="L148" ca="1">INDIRECT("tbl_REF_Risques_TDSI[@[Taxo Impact "&amp;DocumentLanguage&amp;"]]")</f>
        <v>#REF!</v>
      </c>
      <c r="M148" s="38"/>
      <c r="N148" s="63" t="e" cm="1">
        <f t="array" aca="1" ref="N148"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48" s="38" t="e" cm="1">
        <f t="array" aca="1" ref="O148" ca="1">_xlfn.LET(
 _xlpm.raw,_xlfn.TEXTSPLIT(M148,CHAR(10)),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48" s="38"/>
      <c r="Q148" s="10" t="e">
        <f ca="1">INDEX(INDIRECT("RiskResid_"&amp;DocumentLanguage),MATCH(tbl_Risks[[#This Row],[Niveau Risque Inhérent
Inherent Risk Level]], INDIRECT("niv_risk_"&amp;DocumentLanguage), 0),MATCH(tbl_Risks[[#This Row],[Efficacité globale 
Global efficiency]], INDIRECT("effglob_"&amp;DocumentLanguage), 0))</f>
        <v>#N/A</v>
      </c>
      <c r="R148" s="38"/>
      <c r="S148" s="10" t="e">
        <f ca="1">INDEX(INDIRECT("RiskResid_"&amp;DocumentLanguage),MATCH(tbl_Risks[[#This Row],[Niveau Risque Inhérent
Inherent Risk Level]], INDIRECT("niv_risk_"&amp;DocumentLanguage), 0),MATCH(tbl_Risks[[#This Row],[Efficacité finale
Final efficiency]], INDIRECT("effglob_"&amp;DocumentLanguage), 0))</f>
        <v>#N/A</v>
      </c>
    </row>
    <row r="149" spans="1:19">
      <c r="A149" s="38"/>
      <c r="B149" s="38"/>
      <c r="C149" s="39" t="e" cm="1">
        <f t="array" aca="1" ref="C149" ca="1">INDIRECT("tbl_REF_Risques_TDSI[@[Risk Scenario Title "&amp;DocumentLanguage&amp;"]]")</f>
        <v>#REF!</v>
      </c>
      <c r="D149" s="39" t="e" cm="1">
        <f t="array" aca="1" ref="D149" ca="1">INDIRECT("tbl_REF_Risques_TDSI[@[Risk Scenario Description "&amp;DocumentLanguage&amp;"]]")</f>
        <v>#REF!</v>
      </c>
      <c r="E149" s="41"/>
      <c r="F149" s="39"/>
      <c r="G149" s="39"/>
      <c r="H149" s="39"/>
      <c r="I149" s="1" t="str" cm="1">
        <f t="array" aca="1" ref="I149"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49" s="39" t="e" cm="1">
        <f t="array" aca="1" ref="J149" ca="1">INDIRECT("tbl_REF_Risques_TDSI[@[Taxo Cause "&amp;DocumentLanguage&amp;"]]")</f>
        <v>#REF!</v>
      </c>
      <c r="K149" s="39" t="e" cm="1">
        <f t="array" aca="1" ref="K149" ca="1">INDIRECT("tbl_REF_Risques_TDSI[@[Taxo Risk "&amp;DocumentLanguage&amp;"]]")</f>
        <v>#REF!</v>
      </c>
      <c r="L149" s="39" t="e" cm="1">
        <f t="array" aca="1" ref="L149" ca="1">INDIRECT("tbl_REF_Risques_TDSI[@[Taxo Impact "&amp;DocumentLanguage&amp;"]]")</f>
        <v>#REF!</v>
      </c>
      <c r="M149" s="38"/>
      <c r="N149" s="63" t="e" cm="1">
        <f t="array" aca="1" ref="N149"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49" s="38" t="e" cm="1">
        <f t="array" aca="1" ref="O149" ca="1">_xlfn.LET(
 _xlpm.raw,_xlfn.TEXTSPLIT(M149,CHAR(10)),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49" s="38"/>
      <c r="Q149" s="10" t="e">
        <f ca="1">INDEX(INDIRECT("RiskResid_"&amp;DocumentLanguage),MATCH(tbl_Risks[[#This Row],[Niveau Risque Inhérent
Inherent Risk Level]], INDIRECT("niv_risk_"&amp;DocumentLanguage), 0),MATCH(tbl_Risks[[#This Row],[Efficacité globale 
Global efficiency]], INDIRECT("effglob_"&amp;DocumentLanguage), 0))</f>
        <v>#N/A</v>
      </c>
      <c r="R149" s="38"/>
      <c r="S149" s="10" t="e">
        <f ca="1">INDEX(INDIRECT("RiskResid_"&amp;DocumentLanguage),MATCH(tbl_Risks[[#This Row],[Niveau Risque Inhérent
Inherent Risk Level]], INDIRECT("niv_risk_"&amp;DocumentLanguage), 0),MATCH(tbl_Risks[[#This Row],[Efficacité finale
Final efficiency]], INDIRECT("effglob_"&amp;DocumentLanguage), 0))</f>
        <v>#N/A</v>
      </c>
    </row>
    <row r="150" spans="1:19">
      <c r="A150" s="38"/>
      <c r="B150" s="38"/>
      <c r="C150" s="39" t="e" cm="1">
        <f t="array" aca="1" ref="C150" ca="1">INDIRECT("tbl_REF_Risques_TDSI[@[Risk Scenario Title "&amp;DocumentLanguage&amp;"]]")</f>
        <v>#REF!</v>
      </c>
      <c r="D150" s="39" t="e" cm="1">
        <f t="array" aca="1" ref="D150" ca="1">INDIRECT("tbl_REF_Risques_TDSI[@[Risk Scenario Description "&amp;DocumentLanguage&amp;"]]")</f>
        <v>#REF!</v>
      </c>
      <c r="E150" s="41"/>
      <c r="F150" s="39"/>
      <c r="G150" s="39"/>
      <c r="H150" s="39"/>
      <c r="I150" s="1" t="str" cm="1">
        <f t="array" aca="1" ref="I150"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50" s="39" t="e" cm="1">
        <f t="array" aca="1" ref="J150" ca="1">INDIRECT("tbl_REF_Risques_TDSI[@[Taxo Cause "&amp;DocumentLanguage&amp;"]]")</f>
        <v>#REF!</v>
      </c>
      <c r="K150" s="39" t="e" cm="1">
        <f t="array" aca="1" ref="K150" ca="1">INDIRECT("tbl_REF_Risques_TDSI[@[Taxo Risk "&amp;DocumentLanguage&amp;"]]")</f>
        <v>#REF!</v>
      </c>
      <c r="L150" s="39" t="e" cm="1">
        <f t="array" aca="1" ref="L150" ca="1">INDIRECT("tbl_REF_Risques_TDSI[@[Taxo Impact "&amp;DocumentLanguage&amp;"]]")</f>
        <v>#REF!</v>
      </c>
      <c r="M150" s="38"/>
      <c r="N150" s="63" t="e" cm="1">
        <f t="array" aca="1" ref="N150"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50" s="38" t="e" cm="1">
        <f t="array" aca="1" ref="O150" ca="1">_xlfn.LET(
 _xlpm.raw,_xlfn.TEXTSPLIT(M150,CHAR(10)),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50" s="38"/>
      <c r="Q150" s="10" t="e">
        <f ca="1">INDEX(INDIRECT("RiskResid_"&amp;DocumentLanguage),MATCH(tbl_Risks[[#This Row],[Niveau Risque Inhérent
Inherent Risk Level]], INDIRECT("niv_risk_"&amp;DocumentLanguage), 0),MATCH(tbl_Risks[[#This Row],[Efficacité globale 
Global efficiency]], INDIRECT("effglob_"&amp;DocumentLanguage), 0))</f>
        <v>#N/A</v>
      </c>
      <c r="R150" s="38"/>
      <c r="S150" s="10" t="e">
        <f ca="1">INDEX(INDIRECT("RiskResid_"&amp;DocumentLanguage),MATCH(tbl_Risks[[#This Row],[Niveau Risque Inhérent
Inherent Risk Level]], INDIRECT("niv_risk_"&amp;DocumentLanguage), 0),MATCH(tbl_Risks[[#This Row],[Efficacité finale
Final efficiency]], INDIRECT("effglob_"&amp;DocumentLanguage), 0))</f>
        <v>#N/A</v>
      </c>
    </row>
    <row r="151" spans="1:19">
      <c r="A151" s="38"/>
      <c r="B151" s="38"/>
      <c r="C151" s="39" t="e" cm="1">
        <f t="array" aca="1" ref="C151" ca="1">INDIRECT("tbl_REF_Risques_TDSI[@[Risk Scenario Title "&amp;DocumentLanguage&amp;"]]")</f>
        <v>#REF!</v>
      </c>
      <c r="D151" s="39" t="e" cm="1">
        <f t="array" aca="1" ref="D151" ca="1">INDIRECT("tbl_REF_Risques_TDSI[@[Risk Scenario Description "&amp;DocumentLanguage&amp;"]]")</f>
        <v>#REF!</v>
      </c>
      <c r="E151" s="41"/>
      <c r="F151" s="39"/>
      <c r="G151" s="39"/>
      <c r="H151" s="39"/>
      <c r="I151" s="1" t="str" cm="1">
        <f t="array" aca="1" ref="I151" ca="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51" s="39" t="e" cm="1">
        <f t="array" aca="1" ref="J151" ca="1">INDIRECT("tbl_REF_Risques_TDSI[@[Taxo Cause "&amp;DocumentLanguage&amp;"]]")</f>
        <v>#REF!</v>
      </c>
      <c r="K151" s="39" t="e" cm="1">
        <f t="array" aca="1" ref="K151" ca="1">INDIRECT("tbl_REF_Risques_TDSI[@[Taxo Risk "&amp;DocumentLanguage&amp;"]]")</f>
        <v>#REF!</v>
      </c>
      <c r="L151" s="39" t="e" cm="1">
        <f t="array" aca="1" ref="L151" ca="1">INDIRECT("tbl_REF_Risques_TDSI[@[Taxo Impact "&amp;DocumentLanguage&amp;"]]")</f>
        <v>#REF!</v>
      </c>
      <c r="M151" s="38"/>
      <c r="N151" s="63" t="e" cm="1">
        <f t="array" aca="1" ref="N151"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51" s="38" t="e" cm="1">
        <f t="array" aca="1" ref="O151" ca="1">_xlfn.LET(
 _xlpm.raw,_xlfn.TEXTSPLIT(M151,CHAR(10)),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51" s="38"/>
      <c r="Q151" s="10" t="e">
        <f ca="1">INDEX(INDIRECT("RiskResid_"&amp;DocumentLanguage),MATCH(tbl_Risks[[#This Row],[Niveau Risque Inhérent
Inherent Risk Level]], INDIRECT("niv_risk_"&amp;DocumentLanguage), 0),MATCH(tbl_Risks[[#This Row],[Efficacité globale 
Global efficiency]], INDIRECT("effglob_"&amp;DocumentLanguage), 0))</f>
        <v>#N/A</v>
      </c>
      <c r="R151" s="38"/>
      <c r="S151" s="10" t="e">
        <f ca="1">INDEX(INDIRECT("RiskResid_"&amp;DocumentLanguage),MATCH(tbl_Risks[[#This Row],[Niveau Risque Inhérent
Inherent Risk Level]], INDIRECT("niv_risk_"&amp;DocumentLanguage), 0),MATCH(tbl_Risks[[#This Row],[Efficacité finale
Final efficiency]], INDIRECT("effglob_"&amp;DocumentLanguage), 0))</f>
        <v>#N/A</v>
      </c>
    </row>
  </sheetData>
  <sheetProtection formatColumns="0" formatRows="0" insertHyperlinks="0" sort="0" autoFilter="0"/>
  <phoneticPr fontId="6" type="noConversion"/>
  <conditionalFormatting sqref="S8:S151 R8:S36">
    <cfRule type="expression" dxfId="138" priority="15">
      <formula>OR(LEFT($I8)="1",LEFT($I8)="2")</formula>
    </cfRule>
  </conditionalFormatting>
  <conditionalFormatting sqref="I8:I151 S8:S151">
    <cfRule type="beginsWith" dxfId="137" priority="11" operator="beginsWith" text="4">
      <formula>LEFT(I8,LEN("4"))="4"</formula>
    </cfRule>
    <cfRule type="beginsWith" dxfId="136" priority="12" operator="beginsWith" text="3">
      <formula>LEFT(I8,LEN("3"))="3"</formula>
    </cfRule>
    <cfRule type="beginsWith" dxfId="135" priority="13" operator="beginsWith" text="2">
      <formula>LEFT(I8,LEN("2"))="2"</formula>
    </cfRule>
    <cfRule type="beginsWith" dxfId="134" priority="14" operator="beginsWith" text="1">
      <formula>LEFT(I8,LEN("1"))="1"</formula>
    </cfRule>
  </conditionalFormatting>
  <conditionalFormatting sqref="Q1 Q8:Q1048576">
    <cfRule type="containsText" dxfId="133" priority="6" operator="containsText" text="Très élevé">
      <formula>NOT(ISERROR(SEARCH("Très élevé",Q1)))</formula>
    </cfRule>
    <cfRule type="containsText" dxfId="132" priority="7" operator="containsText" text="Élevé">
      <formula>NOT(ISERROR(SEARCH("Élevé",Q1)))</formula>
    </cfRule>
    <cfRule type="containsText" dxfId="131" priority="8" operator="containsText" text="Faible">
      <formula>NOT(ISERROR(SEARCH("Faible",Q1)))</formula>
    </cfRule>
    <cfRule type="containsText" dxfId="130" priority="9" operator="containsText" text="Modéré">
      <formula>NOT(ISERROR(SEARCH("Modéré",Q1)))</formula>
    </cfRule>
  </conditionalFormatting>
  <conditionalFormatting sqref="Q8:Q151">
    <cfRule type="containsText" dxfId="129" priority="2" operator="containsText" text="Moderate">
      <formula>NOT(ISERROR(SEARCH("Moderate",Q8)))</formula>
    </cfRule>
    <cfRule type="containsText" dxfId="128" priority="3" operator="containsText" text="Very high">
      <formula>NOT(ISERROR(SEARCH("Very high",Q8)))</formula>
    </cfRule>
    <cfRule type="containsText" dxfId="127" priority="4" operator="containsText" text="low">
      <formula>NOT(ISERROR(SEARCH("low",Q8)))</formula>
    </cfRule>
    <cfRule type="containsText" dxfId="126" priority="5" operator="containsText" text="High">
      <formula>NOT(ISERROR(SEARCH("High",Q8)))</formula>
    </cfRule>
  </conditionalFormatting>
  <conditionalFormatting sqref="R2:R7">
    <cfRule type="expression" dxfId="125" priority="1">
      <formula>OR(LEFT($I2)="1",LEFT($I2)="2")</formula>
    </cfRule>
  </conditionalFormatting>
  <dataValidations count="6">
    <dataValidation type="list" allowBlank="1" showInputMessage="1" showErrorMessage="1" sqref="A2:A36" xr:uid="{7B45355B-8714-4F38-B607-37F188227C02}">
      <formula1>"Oui,N/A"</formula1>
    </dataValidation>
    <dataValidation type="list" allowBlank="1" showInputMessage="1" showErrorMessage="1" sqref="R2:R151" xr:uid="{88D58A55-C1C8-4A7B-8A9D-FA46EC3CC3A9}">
      <formula1>INDIRECT("ControlEfficiency"&amp;DocumentLanguage)</formula1>
    </dataValidation>
    <dataValidation allowBlank="1" showInputMessage="1" showErrorMessage="1" sqref="P8:P151" xr:uid="{DB0B922A-1355-4076-B69C-E92E14F9153D}"/>
    <dataValidation type="list" allowBlank="1" showInputMessage="1" showErrorMessage="1" sqref="J8:J151" xr:uid="{319568E8-21AB-45AC-B063-F087AB6FDE12}">
      <formula1>TAXO_CAUSE</formula1>
    </dataValidation>
    <dataValidation type="list" allowBlank="1" showInputMessage="1" showErrorMessage="1" sqref="M8:M151" xr:uid="{B70B7AB3-A135-4D4A-B751-A301BC9AD7FA}">
      <formula1>CONTROLS</formula1>
    </dataValidation>
    <dataValidation type="list" allowBlank="1" showInputMessage="1" showErrorMessage="1" sqref="M152:M1048576 M1" xr:uid="{5D3ED7EB-8A3F-4222-882B-A6CCBBCF373C}">
      <formula1>#REF!</formula1>
    </dataValidation>
  </dataValidations>
  <pageMargins left="0.7" right="0.7" top="0.75" bottom="0.75" header="0.3" footer="0.3"/>
  <pageSetup paperSize="161" orientation="portrait" r:id="rId1"/>
  <tableParts count="1">
    <tablePart r:id="rId2"/>
  </tableParts>
  <extLst>
    <ext xmlns:x14="http://schemas.microsoft.com/office/spreadsheetml/2009/9/main" uri="{CCE6A557-97BC-4b89-ADB6-D9C93CAAB3DF}">
      <x14:dataValidations xmlns:xm="http://schemas.microsoft.com/office/excel/2006/main" count="8">
        <x14:dataValidation type="list" allowBlank="1" showInputMessage="1" showErrorMessage="1" xr:uid="{D9EC90DA-FE0E-4B00-BD6F-D56650A73E8C}">
          <x14:formula1>
            <xm:f>IF('Contexte et portée'!$C$1='DATA - Contexte et portée'!$A$1,'DATA - RISQUE'!$A$10:$A$13,'DATA - RISQUE'!$B$10:$B$13)</xm:f>
          </x14:formula1>
          <xm:sqref>G8:G151</xm:sqref>
        </x14:dataValidation>
        <x14:dataValidation type="list" allowBlank="1" showInputMessage="1" showErrorMessage="1" xr:uid="{81CD9BFA-6D38-49DF-896A-93EAA236CB54}">
          <x14:formula1>
            <xm:f>IF('Contexte et portée'!$C$1='DATA - Contexte et portée'!$A$1,'DATA - RISQUE'!$A$4:$A$7,'DATA - RISQUE'!$B$4:$B$7)</xm:f>
          </x14:formula1>
          <xm:sqref>E8:E151</xm:sqref>
        </x14:dataValidation>
        <x14:dataValidation type="list" allowBlank="1" showInputMessage="1" showErrorMessage="1" xr:uid="{0E3DB646-D7C2-4D39-90C9-D42445FFB774}">
          <x14:formula1>
            <xm:f>INDIRECT(IF('Contexte et portée'!#REF!= "FR", "effiglobFR","effiglobEN"))</xm:f>
          </x14:formula1>
          <xm:sqref>P1048571:P1048576</xm:sqref>
        </x14:dataValidation>
        <x14:dataValidation type="list" allowBlank="1" showInputMessage="1" showErrorMessage="1" xr:uid="{C7ACFD6B-1DAF-42F7-AD94-C4851DDFD169}">
          <x14:formula1>
            <xm:f>IF('Contexte et portée'!$C$1='DATA - Contexte et portée'!$A$1,'DATA - RISQUE'!#REF!,'DATA - RISQUE'!#REF!)</xm:f>
          </x14:formula1>
          <xm:sqref>L8:L151</xm:sqref>
        </x14:dataValidation>
        <x14:dataValidation type="list" allowBlank="1" showInputMessage="1" showErrorMessage="1" xr:uid="{CACAD811-E8D4-44B7-BE96-9CA1941459FA}">
          <x14:formula1>
            <xm:f>INDIRECT(IF('Contexte et portée'!D139= "FR", "effiglobFR","effiglobEN"))</xm:f>
          </x14:formula1>
          <xm:sqref>P152:P1048570 O152:O1048576</xm:sqref>
        </x14:dataValidation>
        <x14:dataValidation type="list" allowBlank="1" showInputMessage="1" showErrorMessage="1" xr:uid="{EB59E8D4-1101-4BEA-959B-3D0429080382}">
          <x14:formula1>
            <xm:f>INDIRECT(IF('Contexte et portée'!D139= "FR", "effiglobFR","effiglobEN"))</xm:f>
          </x14:formula1>
          <xm:sqref>R152:R1048576</xm:sqref>
        </x14:dataValidation>
        <x14:dataValidation type="list" allowBlank="1" showInputMessage="1" showErrorMessage="1" xr:uid="{2933BCFE-6FE4-43BD-8E06-D658047FCF40}">
          <x14:formula1>
            <xm:f>INDIRECT(IF('Contexte et portée'!D3= "FR", "effiglobFR","effiglobEN"))</xm:f>
          </x14:formula1>
          <xm:sqref>R1</xm:sqref>
        </x14:dataValidation>
        <x14:dataValidation type="list" allowBlank="1" showInputMessage="1" showErrorMessage="1" xr:uid="{0C6BDF6B-9BE1-4A79-B927-7489C32E666E}">
          <x14:formula1>
            <xm:f>INDIRECT(IF('Contexte et portée'!D3= "FR", "effiglobFR","effiglobEN"))</xm:f>
          </x14:formula1>
          <xm:sqref>O1:P1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D2910-6B22-46E3-B6F1-00CF4490128D}">
  <sheetPr codeName="Feuil7"/>
  <dimension ref="A1:O154"/>
  <sheetViews>
    <sheetView tabSelected="1" topLeftCell="B102" zoomScaleNormal="100" workbookViewId="0">
      <selection activeCell="H155" sqref="H155"/>
    </sheetView>
  </sheetViews>
  <sheetFormatPr defaultColWidth="11.42578125" defaultRowHeight="15"/>
  <cols>
    <col min="1" max="1" width="9.5703125" customWidth="1"/>
    <col min="2" max="2" width="40" customWidth="1"/>
    <col min="3" max="3" width="27.42578125" customWidth="1"/>
    <col min="4" max="4" width="46.5703125" customWidth="1"/>
    <col min="5" max="5" width="61.85546875" customWidth="1"/>
    <col min="6" max="6" width="28.42578125" customWidth="1"/>
    <col min="7" max="7" width="15.5703125" customWidth="1"/>
    <col min="8" max="8" width="34.28515625" customWidth="1"/>
    <col min="9" max="9" width="29.28515625" customWidth="1"/>
    <col min="10" max="10" width="35.42578125" customWidth="1"/>
    <col min="11" max="11" width="31.42578125" customWidth="1"/>
  </cols>
  <sheetData>
    <row r="1" spans="1:15" ht="45">
      <c r="A1" t="s">
        <v>95</v>
      </c>
      <c r="B1" t="s">
        <v>96</v>
      </c>
      <c r="C1" s="8" t="s">
        <v>97</v>
      </c>
      <c r="D1" s="8" t="s">
        <v>98</v>
      </c>
      <c r="E1" s="8" t="s">
        <v>99</v>
      </c>
      <c r="F1" s="8" t="s">
        <v>100</v>
      </c>
      <c r="G1" s="8" t="s">
        <v>101</v>
      </c>
      <c r="H1" s="8" t="s">
        <v>102</v>
      </c>
      <c r="I1" s="8" t="s">
        <v>103</v>
      </c>
      <c r="J1" s="8" t="s">
        <v>104</v>
      </c>
      <c r="K1" s="8" t="s">
        <v>105</v>
      </c>
    </row>
    <row r="2" spans="1:15" ht="270" hidden="1">
      <c r="A2" t="str">
        <f>tbl_REF_CIS_Safeguards[[#This Row],[SafeguardID]]</f>
        <v>01.01</v>
      </c>
      <c r="B2">
        <f>tbl_REF_CIS_Safeguards[[#This Row],[ControlID]]</f>
        <v>1</v>
      </c>
      <c r="C2" s="8" t="str" cm="1">
        <f t="array" aca="1" ref="C2" ca="1">_xlfn.XLOOKUP(tbl_Safeguards[[#This Row],[ControlID]],tbl_REF_CIS_Controls[ControlID],INDIRECT("tbl_REF_CIS_Controls[ControlName"&amp;DocumentLanguage&amp;"]"))</f>
        <v>Inventaire et contrôle des actifs de l'entreprise</v>
      </c>
      <c r="D2" s="8" t="str" cm="1">
        <f t="array" aca="1" ref="D2" ca="1">INDIRECT("tbl_REF_CIS_Safeguards[@Title"&amp;DocumentLanguage&amp;"]")</f>
        <v>Établir et tenir à jour un inventaire détaillé des actifs de l'entreprise</v>
      </c>
      <c r="E2" s="8" t="str" cm="1">
        <f t="array" aca="1" ref="E2" ca="1">INDIRECT("tbl_REF_CIS_Safeguards[@Description"&amp;DocumentLanguage&amp;"]")</f>
        <v>Établir et tenir à jour un inventaire précis, détaillé et actualisé de tous les actifs de l'entreprise susceptibles de stocker ou de traiter des données, à savoir : les appareils des utilisateurs finaux (y compris les appareils portables et mobiles), les appareils du réseau, les appareils non informatiques/IoT et les serveurs. L'inventaire doit indiquer l'adresse réseau (si elle est statique), l'adresse du matériel, le nom de la machine, le propriétaire de l'actif de l'entreprise, le service pour chaque actif et si l'actif a été autorisé à se connecter au réseau. Pour les appareils mobiles des utilisateurs finaux, des outils de type MDM peuvent soutenir ce processus, le cas échéant. Cet inventaire comprend les biens connectés à l'infrastructure physiquement, virtuellement, à distance et ceux qui se trouvent dans des environnements en nuage. En outre, il inclut les actifs qui sont régulièrement connectés à l'infrastructure du réseau de l'entreprise, même s'ils ne sont pas sous le contrôle de l'entreprise. Examiner et mettre à jour l'inventaire de tous les actifs de l'entreprise deux fois par an, ou plus fréquemment.</v>
      </c>
      <c r="F2" s="8"/>
      <c r="G2" t="s">
        <v>106</v>
      </c>
      <c r="H2" s="8"/>
      <c r="I2" s="92" cm="1">
        <f t="array" aca="1" ref="I2"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2" s="8">
        <f ca="1">IF(tbl_Safeguards[[#This Row],[En place
In place]]&lt;&gt;"N/A",_xlfn.XLOOKUP(tbl_Safeguards[[#This Row],[IG
IG]],tbl_safeguardWeightIG[IG],tbl_safeguardWeightIG[Weight]),"")</f>
        <v>1</v>
      </c>
      <c r="K2" s="8" cm="1">
        <f t="array" aca="1" ref="K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c r="O2" s="8"/>
    </row>
    <row r="3" spans="1:15" ht="60" hidden="1">
      <c r="A3" t="str">
        <f>tbl_REF_CIS_Safeguards[[#This Row],[SafeguardID]]</f>
        <v>01.02</v>
      </c>
      <c r="B3">
        <f>tbl_REF_CIS_Safeguards[[#This Row],[ControlID]]</f>
        <v>1</v>
      </c>
      <c r="C3" s="8" t="str" cm="1">
        <f t="array" aca="1" ref="C3" ca="1">_xlfn.XLOOKUP(tbl_Safeguards[[#This Row],[ControlID]],tbl_REF_CIS_Controls[ControlID],INDIRECT("tbl_REF_CIS_Controls[ControlName"&amp;DocumentLanguage&amp;"]"))</f>
        <v>Inventaire et contrôle des actifs de l'entreprise</v>
      </c>
      <c r="D3" s="8" t="str" cm="1">
        <f t="array" aca="1" ref="D3" ca="1">INDIRECT("tbl_REF_CIS_Safeguards[@Title"&amp;DocumentLanguage&amp;"]")</f>
        <v>Lutte contre les actifs non autorisés</v>
      </c>
      <c r="E3" s="8" t="str" cm="1">
        <f t="array" aca="1" ref="E3" ca="1">INDIRECT("tbl_REF_CIS_Safeguards[@Description"&amp;DocumentLanguage&amp;"]")</f>
        <v>S'assurer qu'il existe un processus permettant de traiter les biens non autorisés sur une base hebdomadaire. L'entreprise peut choisir de retirer l'actif du réseau, d'empêcher l'actif de se connecter à distance au réseau ou de le mettre en quarantaine.</v>
      </c>
      <c r="F3" s="8" t="str" cm="1">
        <f t="array" aca="1" ref="F3" ca="1">INDIRECT("tbl_REF_CIS_Safeguards[@Comment"&amp;DocumentLanguage&amp;"]")</f>
        <v>* Si l'actif est déployé sur le réseau d'iA, oui. Sinon, non.</v>
      </c>
      <c r="G3" t="s">
        <v>106</v>
      </c>
      <c r="H3" s="8"/>
      <c r="I3" s="92" cm="1">
        <f t="array" aca="1" ref="I3"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3" s="8">
        <f ca="1">IF(tbl_Safeguards[[#This Row],[En place
In place]]&lt;&gt;"N/A",_xlfn.XLOOKUP(tbl_Safeguards[[#This Row],[IG
IG]],tbl_safeguardWeightIG[IG],tbl_safeguardWeightIG[Weight]),"")</f>
        <v>1</v>
      </c>
      <c r="K3" s="8" cm="1">
        <f t="array" aca="1" ref="K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c r="O3" s="8"/>
    </row>
    <row r="4" spans="1:15" ht="60" hidden="1">
      <c r="A4" t="str">
        <f>tbl_REF_CIS_Safeguards[[#This Row],[SafeguardID]]</f>
        <v>01.03</v>
      </c>
      <c r="B4">
        <f>tbl_REF_CIS_Safeguards[[#This Row],[ControlID]]</f>
        <v>1</v>
      </c>
      <c r="C4" s="8" t="str" cm="1">
        <f t="array" aca="1" ref="C4" ca="1">_xlfn.XLOOKUP(tbl_Safeguards[[#This Row],[ControlID]],tbl_REF_CIS_Controls[ControlID],INDIRECT("tbl_REF_CIS_Controls[ControlName"&amp;DocumentLanguage&amp;"]"))</f>
        <v>Inventaire et contrôle des actifs de l'entreprise</v>
      </c>
      <c r="D4" s="8" t="str" cm="1">
        <f t="array" aca="1" ref="D4" ca="1">INDIRECT("tbl_REF_CIS_Safeguards[@Title"&amp;DocumentLanguage&amp;"]")</f>
        <v>Utiliser un outil de découverte active</v>
      </c>
      <c r="E4" s="8" t="str" cm="1">
        <f t="array" aca="1" ref="E4" ca="1">INDIRECT("tbl_REF_CIS_Safeguards[@Description"&amp;DocumentLanguage&amp;"]")</f>
        <v>Utiliser un outil de découverte active pour identifier les actifs connectés au réseau de l'entreprise. Configurer l'outil de découverte active pour qu'il s'exécute quotidiennement ou plus fréquemment.</v>
      </c>
      <c r="F4" s="8" t="str" cm="1">
        <f t="array" aca="1" ref="F4" ca="1">INDIRECT("tbl_REF_CIS_Safeguards[@Comment"&amp;DocumentLanguage&amp;"]")</f>
        <v/>
      </c>
      <c r="G4" t="s">
        <v>106</v>
      </c>
      <c r="H4" s="8"/>
      <c r="I4" s="92" cm="1">
        <f t="array" aca="1" ref="I4"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4" s="8">
        <f ca="1">IF(tbl_Safeguards[[#This Row],[En place
In place]]&lt;&gt;"N/A",_xlfn.XLOOKUP(tbl_Safeguards[[#This Row],[IG
IG]],tbl_safeguardWeightIG[IG],tbl_safeguardWeightIG[Weight]),"")</f>
        <v>0.75</v>
      </c>
      <c r="K4" s="8" cm="1">
        <f t="array" aca="1" ref="K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5" spans="1:15" ht="75" hidden="1">
      <c r="A5" t="str">
        <f>tbl_REF_CIS_Safeguards[[#This Row],[SafeguardID]]</f>
        <v>01.04</v>
      </c>
      <c r="B5">
        <f>tbl_REF_CIS_Safeguards[[#This Row],[ControlID]]</f>
        <v>1</v>
      </c>
      <c r="C5" s="8" t="str" cm="1">
        <f t="array" aca="1" ref="C5" ca="1">_xlfn.XLOOKUP(tbl_Safeguards[[#This Row],[ControlID]],tbl_REF_CIS_Controls[ControlID],INDIRECT("tbl_REF_CIS_Controls[ControlName"&amp;DocumentLanguage&amp;"]"))</f>
        <v>Inventaire et contrôle des actifs de l'entreprise</v>
      </c>
      <c r="D5" s="8" t="str" cm="1">
        <f t="array" aca="1" ref="D5" ca="1">INDIRECT("tbl_REF_CIS_Safeguards[@Title"&amp;DocumentLanguage&amp;"]")</f>
        <v>Utiliser le protocole de configuration dynamique de l'hôte (DHCP) pour mettre à jour l'inventaire des actifs de l'entreprise</v>
      </c>
      <c r="E5" s="8" t="str" cm="1">
        <f t="array" aca="1" ref="E5" ca="1">INDIRECT("tbl_REF_CIS_Safeguards[@Description"&amp;DocumentLanguage&amp;"]")</f>
        <v>Utiliser la journalisation DHCP sur tous les serveurs DHCP ou les outils de gestion des adresses IP (Internet Protocol) pour mettre à jour l'inventaire des actifs de l'entreprise. Examiner et utiliser les journaux pour mettre à jour l'inventaire des actifs de l'entreprise chaque semaine, ou plus fréquemment.</v>
      </c>
      <c r="F5" s="8" t="str" cm="1">
        <f t="array" aca="1" ref="F5" ca="1">INDIRECT("tbl_REF_CIS_Safeguards[@Comment"&amp;DocumentLanguage&amp;"]")</f>
        <v/>
      </c>
      <c r="G5" t="s">
        <v>17</v>
      </c>
      <c r="H5" s="8"/>
      <c r="I5" s="92" cm="1">
        <f t="array" aca="1" ref="I5"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5" s="8">
        <f ca="1">IF(tbl_Safeguards[[#This Row],[En place
In place]]&lt;&gt;"N/A",_xlfn.XLOOKUP(tbl_Safeguards[[#This Row],[IG
IG]],tbl_safeguardWeightIG[IG],tbl_safeguardWeightIG[Weight]),"")</f>
        <v>0.75</v>
      </c>
      <c r="K5" s="8" cm="1">
        <f t="array" aca="1" ref="K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6" spans="1:15" ht="60" hidden="1">
      <c r="A6" t="str">
        <f>tbl_REF_CIS_Safeguards[[#This Row],[SafeguardID]]</f>
        <v>01.05</v>
      </c>
      <c r="B6">
        <f>tbl_REF_CIS_Safeguards[[#This Row],[ControlID]]</f>
        <v>1</v>
      </c>
      <c r="C6" s="8" t="str" cm="1">
        <f t="array" aca="1" ref="C6" ca="1">_xlfn.XLOOKUP(tbl_Safeguards[[#This Row],[ControlID]],tbl_REF_CIS_Controls[ControlID],INDIRECT("tbl_REF_CIS_Controls[ControlName"&amp;DocumentLanguage&amp;"]"))</f>
        <v>Inventaire et contrôle des actifs de l'entreprise</v>
      </c>
      <c r="D6" s="8" t="str" cm="1">
        <f t="array" aca="1" ref="D6" ca="1">INDIRECT("tbl_REF_CIS_Safeguards[@Title"&amp;DocumentLanguage&amp;"]")</f>
        <v>Utiliser un outil de découverte d'actifs passifs</v>
      </c>
      <c r="E6" s="8" t="str" cm="1">
        <f t="array" aca="1" ref="E6" ca="1">INDIRECT("tbl_REF_CIS_Safeguards[@Description"&amp;DocumentLanguage&amp;"]")</f>
        <v>Utiliser un outil de découverte passive pour identifier les actifs connectés au réseau de l'entreprise. Examiner et utiliser les analyses pour mettre à jour l'inventaire des actifs de l'entreprise au moins une fois par semaine, voire plus fréquemment.</v>
      </c>
      <c r="F6" s="8" t="str" cm="1">
        <f t="array" aca="1" ref="F6" ca="1">INDIRECT("tbl_REF_CIS_Safeguards[@Comment"&amp;DocumentLanguage&amp;"]")</f>
        <v/>
      </c>
      <c r="G6" t="s">
        <v>106</v>
      </c>
      <c r="H6" s="8"/>
      <c r="I6" s="92" cm="1">
        <f t="array" aca="1" ref="I6"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6" s="8">
        <f ca="1">IF(tbl_Safeguards[[#This Row],[En place
In place]]&lt;&gt;"N/A",_xlfn.XLOOKUP(tbl_Safeguards[[#This Row],[IG
IG]],tbl_safeguardWeightIG[IG],tbl_safeguardWeightIG[Weight]),"")</f>
        <v>0.5</v>
      </c>
      <c r="K6" s="8" cm="1">
        <f t="array" aca="1" ref="K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7" spans="1:15" ht="135" hidden="1">
      <c r="A7" t="str">
        <f>tbl_REF_CIS_Safeguards[[#This Row],[SafeguardID]]</f>
        <v>02.01</v>
      </c>
      <c r="B7">
        <f>tbl_REF_CIS_Safeguards[[#This Row],[ControlID]]</f>
        <v>2</v>
      </c>
      <c r="C7" s="8" t="str" cm="1">
        <f t="array" aca="1" ref="C7" ca="1">_xlfn.XLOOKUP(tbl_Safeguards[[#This Row],[ControlID]],tbl_REF_CIS_Controls[ControlID],INDIRECT("tbl_REF_CIS_Controls[ControlName"&amp;DocumentLanguage&amp;"]"))</f>
        <v>Inventaire et contrôle des actifs logiciels</v>
      </c>
      <c r="D7" s="8" t="str" cm="1">
        <f t="array" aca="1" ref="D7" ca="1">INDIRECT("tbl_REF_CIS_Safeguards[@Title"&amp;DocumentLanguage&amp;"]")</f>
        <v>Établir et maintenir un inventaire des logiciels</v>
      </c>
      <c r="E7" s="8" t="str" cm="1">
        <f t="array" aca="1" ref="E7" ca="1">INDIRECT("tbl_REF_CIS_Safeguards[@Description"&amp;DocumentLanguage&amp;"]")</f>
        <v>Établir et tenir à jour un inventaire détaillé de tous les logiciels sous licence installés sur les biens de l'entreprise. L'inventaire des logiciels doit indiquer le titre, l'éditeur, la date d'installation/d'utilisation initiale et l'objectif commercial de chaque entrée ; le cas échéant, il doit inclure l'URL (Uniform Resource Locator), le(s) magasin(s) d'applications, la(les) version(s), le mécanisme de déploiement et la date de mise hors service. Examiner et mettre à jour l'inventaire des logiciels deux fois par an, ou plus fréquemment.</v>
      </c>
      <c r="F7" s="8" t="str" cm="1">
        <f t="array" aca="1" ref="F7" ca="1">INDIRECT("tbl_REF_CIS_Safeguards[@Comment"&amp;DocumentLanguage&amp;"]")</f>
        <v>* Si l'actif est ajouté dans Hopex et qu'il est bien documenté, oui. Sinon, non.</v>
      </c>
      <c r="G7" t="s">
        <v>106</v>
      </c>
      <c r="H7" s="8"/>
      <c r="I7" s="92" cm="1">
        <f t="array" aca="1" ref="I7"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7" s="8">
        <f ca="1">IF(tbl_Safeguards[[#This Row],[En place
In place]]&lt;&gt;"N/A",_xlfn.XLOOKUP(tbl_Safeguards[[#This Row],[IG
IG]],tbl_safeguardWeightIG[IG],tbl_safeguardWeightIG[Weight]),"")</f>
        <v>1</v>
      </c>
      <c r="K7" s="8" cm="1">
        <f t="array" aca="1" ref="K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8" spans="1:15" ht="150" hidden="1">
      <c r="A8" t="str">
        <f>tbl_REF_CIS_Safeguards[[#This Row],[SafeguardID]]</f>
        <v>02.02</v>
      </c>
      <c r="B8">
        <f>tbl_REF_CIS_Safeguards[[#This Row],[ControlID]]</f>
        <v>2</v>
      </c>
      <c r="C8" s="8" t="str" cm="1">
        <f t="array" aca="1" ref="C8" ca="1">_xlfn.XLOOKUP(tbl_Safeguards[[#This Row],[ControlID]],tbl_REF_CIS_Controls[ControlID],INDIRECT("tbl_REF_CIS_Controls[ControlName"&amp;DocumentLanguage&amp;"]"))</f>
        <v>Inventaire et contrôle des actifs logiciels</v>
      </c>
      <c r="D8" s="8" t="str" cm="1">
        <f t="array" aca="1" ref="D8" ca="1">INDIRECT("tbl_REF_CIS_Safeguards[@Title"&amp;DocumentLanguage&amp;"]")</f>
        <v xml:space="preserve">S'assurer que les logiciels autorisés sont actuellement pris en charge </v>
      </c>
      <c r="E8" s="8" t="str" cm="1">
        <f t="array" aca="1" ref="E8" ca="1">INDIRECT("tbl_REF_CIS_Safeguards[@Description"&amp;DocumentLanguage&amp;"]")</f>
        <v>Veiller à ce que seuls les logiciels actuellement pris en charge soient désignés comme autorisés dans l'inventaire des logiciels pour les actifs de l'entreprise. Si un logiciel n'est pas pris en charge, mais qu'il est nécessaire à l'accomplissement de la mission de l'entreprise, documenter une exception détaillant les contrôles d'atténuation et l'acceptation du risque résiduel. Pour tout logiciel non pris en charge et ne faisant pas l'objet d'une documentation d'exception, le désigner comme non autorisé. Examiner la liste des logiciels pour vérifier leur prise en charge au moins une fois par mois, ou plus fréquemment.</v>
      </c>
      <c r="F8" s="8" t="str" cm="1">
        <f t="array" aca="1" ref="F8" ca="1">INDIRECT("tbl_REF_CIS_Safeguards[@Comment"&amp;DocumentLanguage&amp;"]")</f>
        <v>* Si dans le réseau d'iA, les logiciels non autorisés sont identifiés.</v>
      </c>
      <c r="G8" t="s">
        <v>107</v>
      </c>
      <c r="H8" s="8"/>
      <c r="I8" s="92" cm="1">
        <f t="array" aca="1" ref="I8"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8" s="8" t="str">
        <f ca="1">IF(tbl_Safeguards[[#This Row],[En place
In place]]&lt;&gt;"N/A",_xlfn.XLOOKUP(tbl_Safeguards[[#This Row],[IG
IG]],tbl_safeguardWeightIG[IG],tbl_safeguardWeightIG[Weight]),"")</f>
        <v/>
      </c>
      <c r="K8" s="8" t="str" cm="1">
        <f t="array" aca="1" ref="K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9" spans="1:15" ht="60" hidden="1">
      <c r="A9" t="str">
        <f>tbl_REF_CIS_Safeguards[[#This Row],[SafeguardID]]</f>
        <v>02.03</v>
      </c>
      <c r="B9">
        <f>tbl_REF_CIS_Safeguards[[#This Row],[ControlID]]</f>
        <v>2</v>
      </c>
      <c r="C9" s="8" t="str" cm="1">
        <f t="array" aca="1" ref="C9" ca="1">_xlfn.XLOOKUP(tbl_Safeguards[[#This Row],[ControlID]],tbl_REF_CIS_Controls[ControlID],INDIRECT("tbl_REF_CIS_Controls[ControlName"&amp;DocumentLanguage&amp;"]"))</f>
        <v>Inventaire et contrôle des actifs logiciels</v>
      </c>
      <c r="D9" s="8" t="str" cm="1">
        <f t="array" aca="1" ref="D9" ca="1">INDIRECT("tbl_REF_CIS_Safeguards[@Title"&amp;DocumentLanguage&amp;"]")</f>
        <v>Lutter contre les logiciels non autorisés</v>
      </c>
      <c r="E9" s="8" t="str" cm="1">
        <f t="array" aca="1" ref="E9" ca="1">INDIRECT("tbl_REF_CIS_Safeguards[@Description"&amp;DocumentLanguage&amp;"]")</f>
        <v>Veiller à ce que les logiciels non autorisés soient retirés des actifs de l'entreprise ou fassent l'objet d'une exception documentée. Révision mensuelle ou plus fréquente.</v>
      </c>
      <c r="F9" s="8" t="str" cm="1">
        <f t="array" aca="1" ref="F9" ca="1">INDIRECT("tbl_REF_CIS_Safeguards[@Comment"&amp;DocumentLanguage&amp;"]")</f>
        <v>* Si dans le réseau d'iA, les logiciels non autorisés ne sont pas systématiquement supprimés.</v>
      </c>
      <c r="G9" t="s">
        <v>107</v>
      </c>
      <c r="H9" s="8"/>
      <c r="I9" s="92" cm="1">
        <f t="array" aca="1" ref="I9"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9" s="8" t="str">
        <f ca="1">IF(tbl_Safeguards[[#This Row],[En place
In place]]&lt;&gt;"N/A",_xlfn.XLOOKUP(tbl_Safeguards[[#This Row],[IG
IG]],tbl_safeguardWeightIG[IG],tbl_safeguardWeightIG[Weight]),"")</f>
        <v/>
      </c>
      <c r="K9" s="8" t="str" cm="1">
        <f t="array" aca="1" ref="K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0" spans="1:15" ht="75" hidden="1">
      <c r="A10" t="str">
        <f>tbl_REF_CIS_Safeguards[[#This Row],[SafeguardID]]</f>
        <v>02.04</v>
      </c>
      <c r="B10">
        <f>tbl_REF_CIS_Safeguards[[#This Row],[ControlID]]</f>
        <v>2</v>
      </c>
      <c r="C10" s="8" t="str" cm="1">
        <f t="array" aca="1" ref="C10" ca="1">_xlfn.XLOOKUP(tbl_Safeguards[[#This Row],[ControlID]],tbl_REF_CIS_Controls[ControlID],INDIRECT("tbl_REF_CIS_Controls[ControlName"&amp;DocumentLanguage&amp;"]"))</f>
        <v>Inventaire et contrôle des actifs logiciels</v>
      </c>
      <c r="D10" s="8" t="str" cm="1">
        <f t="array" aca="1" ref="D10" ca="1">INDIRECT("tbl_REF_CIS_Safeguards[@Title"&amp;DocumentLanguage&amp;"]")</f>
        <v>Utiliser des outils automatisés d'inventaire des logiciels</v>
      </c>
      <c r="E10" s="8" t="str" cm="1">
        <f t="array" aca="1" ref="E10" ca="1">INDIRECT("tbl_REF_CIS_Safeguards[@Description"&amp;DocumentLanguage&amp;"]")</f>
        <v xml:space="preserve">Utiliser, si possible, des outils d'inventaire des logiciels dans toute l'entreprise pour automatiser la découverte et la documentation des logiciels installés. </v>
      </c>
      <c r="F10" s="8" t="str" cm="1">
        <f t="array" aca="1" ref="F10" ca="1">INDIRECT("tbl_REF_CIS_Safeguards[@Comment"&amp;DocumentLanguage&amp;"]")</f>
        <v>* Les postes de travail d'entreprise sont intégrés dans Intune, par contre, les serveurs et l'infrastructure ne sont pas couverts.</v>
      </c>
      <c r="G10" t="s">
        <v>106</v>
      </c>
      <c r="H10" s="8"/>
      <c r="I10" s="92" cm="1">
        <f t="array" aca="1" ref="I10"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0" s="8">
        <f ca="1">IF(tbl_Safeguards[[#This Row],[En place
In place]]&lt;&gt;"N/A",_xlfn.XLOOKUP(tbl_Safeguards[[#This Row],[IG
IG]],tbl_safeguardWeightIG[IG],tbl_safeguardWeightIG[Weight]),"")</f>
        <v>0.75</v>
      </c>
      <c r="K10" s="8" cm="1">
        <f t="array" aca="1" ref="K1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11" spans="1:15" ht="60" hidden="1">
      <c r="A11" t="str">
        <f>tbl_REF_CIS_Safeguards[[#This Row],[SafeguardID]]</f>
        <v>02.05</v>
      </c>
      <c r="B11">
        <f>tbl_REF_CIS_Safeguards[[#This Row],[ControlID]]</f>
        <v>2</v>
      </c>
      <c r="C11" s="8" t="str" cm="1">
        <f t="array" aca="1" ref="C11" ca="1">_xlfn.XLOOKUP(tbl_Safeguards[[#This Row],[ControlID]],tbl_REF_CIS_Controls[ControlID],INDIRECT("tbl_REF_CIS_Controls[ControlName"&amp;DocumentLanguage&amp;"]"))</f>
        <v>Inventaire et contrôle des actifs logiciels</v>
      </c>
      <c r="D11" s="8" t="str" cm="1">
        <f t="array" aca="1" ref="D11" ca="1">INDIRECT("tbl_REF_CIS_Safeguards[@Title"&amp;DocumentLanguage&amp;"]")</f>
        <v>Logiciels autorisés par Liste d'autorisations</v>
      </c>
      <c r="E11" s="8" t="str" cm="1">
        <f t="array" aca="1" ref="E11" ca="1">INDIRECT("tbl_REF_CIS_Safeguards[@Description"&amp;DocumentLanguage&amp;"]")</f>
        <v>Utiliser des contrôles techniques, tels que des listes d'autorisation d'applications, pour s'assurer que seuls les logiciels autorisés peuvent s'exécuter ou être consultés. Réévaluer deux fois par an, ou plus fréquemment.</v>
      </c>
      <c r="F11" s="8" t="str" cm="1">
        <f t="array" aca="1" ref="F11" ca="1">INDIRECT("tbl_REF_CIS_Safeguards[@Comment"&amp;DocumentLanguage&amp;"]")</f>
        <v>* Si dans le réseau d'iA, il est possible d'installer et de déployer des logiciels non autorisés.</v>
      </c>
      <c r="G11" t="s">
        <v>106</v>
      </c>
      <c r="H11" s="8"/>
      <c r="I11" s="92" cm="1">
        <f t="array" aca="1" ref="I11"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1" s="8">
        <f ca="1">IF(tbl_Safeguards[[#This Row],[En place
In place]]&lt;&gt;"N/A",_xlfn.XLOOKUP(tbl_Safeguards[[#This Row],[IG
IG]],tbl_safeguardWeightIG[IG],tbl_safeguardWeightIG[Weight]),"")</f>
        <v>0.75</v>
      </c>
      <c r="K11" s="8" cm="1">
        <f t="array" aca="1" ref="K1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12" spans="1:15" ht="90" hidden="1">
      <c r="A12" t="str">
        <f>tbl_REF_CIS_Safeguards[[#This Row],[SafeguardID]]</f>
        <v>02.06</v>
      </c>
      <c r="B12">
        <f>tbl_REF_CIS_Safeguards[[#This Row],[ControlID]]</f>
        <v>2</v>
      </c>
      <c r="C12" s="8" t="str" cm="1">
        <f t="array" aca="1" ref="C12" ca="1">_xlfn.XLOOKUP(tbl_Safeguards[[#This Row],[ControlID]],tbl_REF_CIS_Controls[ControlID],INDIRECT("tbl_REF_CIS_Controls[ControlName"&amp;DocumentLanguage&amp;"]"))</f>
        <v>Inventaire et contrôle des actifs logiciels</v>
      </c>
      <c r="D12" s="8" t="str" cm="1">
        <f t="array" aca="1" ref="D12" ca="1">INDIRECT("tbl_REF_CIS_Safeguards[@Title"&amp;DocumentLanguage&amp;"]")</f>
        <v>Liste des bibliothèques autorisées par Liste d'autorisations</v>
      </c>
      <c r="E12" s="8" t="str" cm="1">
        <f t="array" aca="1" ref="E12" ca="1">INDIRECT("tbl_REF_CIS_Safeguards[@Description"&amp;DocumentLanguage&amp;"]")</f>
        <v xml:space="preserve"> Utiliser des contrôles techniques pour s'assurer que seules les bibliothèques logicielles autorisées, telles que les fichiers .dll, .ocx et .so, sont autorisées à être chargées dans un processus système. Empêcher les bibliothèques non autorisées de se charger dans un processus système. Réévaluer deux fois par an ou plus fréquemment.</v>
      </c>
      <c r="F12" s="8" t="str" cm="1">
        <f t="array" aca="1" ref="F12" ca="1">INDIRECT("tbl_REF_CIS_Safeguards[@Comment"&amp;DocumentLanguage&amp;"]")</f>
        <v>* Si dans le réseau d'iA, les librairies sur nos postes de travail comme dans les applications développées ne sont pas limitées.</v>
      </c>
      <c r="G12" t="s">
        <v>107</v>
      </c>
      <c r="H12" s="8"/>
      <c r="I12" s="92" cm="1">
        <f t="array" aca="1" ref="I12"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2" s="8" t="str">
        <f ca="1">IF(tbl_Safeguards[[#This Row],[En place
In place]]&lt;&gt;"N/A",_xlfn.XLOOKUP(tbl_Safeguards[[#This Row],[IG
IG]],tbl_safeguardWeightIG[IG],tbl_safeguardWeightIG[Weight]),"")</f>
        <v/>
      </c>
      <c r="K12" s="8" t="str" cm="1">
        <f t="array" aca="1" ref="K1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3" spans="1:15" ht="90" hidden="1">
      <c r="A13" t="str">
        <f>tbl_REF_CIS_Safeguards[[#This Row],[SafeguardID]]</f>
        <v>02.07</v>
      </c>
      <c r="B13">
        <f>tbl_REF_CIS_Safeguards[[#This Row],[ControlID]]</f>
        <v>2</v>
      </c>
      <c r="C13" s="8" t="str" cm="1">
        <f t="array" aca="1" ref="C13" ca="1">_xlfn.XLOOKUP(tbl_Safeguards[[#This Row],[ControlID]],tbl_REF_CIS_Controls[ControlID],INDIRECT("tbl_REF_CIS_Controls[ControlName"&amp;DocumentLanguage&amp;"]"))</f>
        <v>Inventaire et contrôle des actifs logiciels</v>
      </c>
      <c r="D13" s="8" t="str" cm="1">
        <f t="array" aca="1" ref="D13" ca="1">INDIRECT("tbl_REF_CIS_Safeguards[@Title"&amp;DocumentLanguage&amp;"]")</f>
        <v>Liste des scripts autorisés par Liste d'autorisations</v>
      </c>
      <c r="E13" s="8" t="str" cm="1">
        <f t="array" aca="1" ref="E13" ca="1">INDIRECT("tbl_REF_CIS_Safeguards[@Description"&amp;DocumentLanguage&amp;"]")</f>
        <v>Utilisez des contrôles techniques, tels que les signatures numériques et le contrôle des versions, pour vous assurer que seuls les scripts autorisés, tels que les fichiers .ps1 et .py spécifiques, sont autorisés à s'exécuter. Empêcher les scripts non autorisés de s'exécuter. Réévaluer deux fois par an ou plus fréquemment.</v>
      </c>
      <c r="F13" s="8" t="str" cm="1">
        <f t="array" aca="1" ref="F13" ca="1">INDIRECT("tbl_REF_CIS_Safeguards[@Comment"&amp;DocumentLanguage&amp;"]")</f>
        <v>* Tous les scripts peuvent être exécutés.</v>
      </c>
      <c r="G13" t="s">
        <v>107</v>
      </c>
      <c r="H13" s="8"/>
      <c r="I13" s="92" cm="1">
        <f t="array" aca="1" ref="I13"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3" s="8" t="str">
        <f ca="1">IF(tbl_Safeguards[[#This Row],[En place
In place]]&lt;&gt;"N/A",_xlfn.XLOOKUP(tbl_Safeguards[[#This Row],[IG
IG]],tbl_safeguardWeightIG[IG],tbl_safeguardWeightIG[Weight]),"")</f>
        <v/>
      </c>
      <c r="K13" s="8" t="str" cm="1">
        <f t="array" aca="1" ref="K1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4" spans="1:15" ht="150" hidden="1">
      <c r="A14" t="str">
        <f>tbl_REF_CIS_Safeguards[[#This Row],[SafeguardID]]</f>
        <v>03.01</v>
      </c>
      <c r="B14">
        <f>tbl_REF_CIS_Safeguards[[#This Row],[ControlID]]</f>
        <v>3</v>
      </c>
      <c r="C14" s="8" t="str" cm="1">
        <f t="array" aca="1" ref="C14" ca="1">_xlfn.XLOOKUP(tbl_Safeguards[[#This Row],[ControlID]],tbl_REF_CIS_Controls[ControlID],INDIRECT("tbl_REF_CIS_Controls[ControlName"&amp;DocumentLanguage&amp;"]"))</f>
        <v>Protection des données</v>
      </c>
      <c r="D14" s="8" t="str" cm="1">
        <f t="array" aca="1" ref="D14" ca="1">INDIRECT("tbl_REF_CIS_Safeguards[@Title"&amp;DocumentLanguage&amp;"]")</f>
        <v>Établir et maintenir un processus de gestion des données</v>
      </c>
      <c r="E14" s="8" t="str" cm="1">
        <f t="array" aca="1" ref="E14" ca="1">INDIRECT("tbl_REF_CIS_Safeguards[@Description"&amp;DocumentLanguage&amp;"]")</f>
        <v>Établir et maintenir un processus documenté de gestion des données. Dans le cadre de ce processus, la sensibilité des données, le propriétaire des données, le traitement des données, les limites de conservation des données et les exigences en matière d'élimination doivent être pris en compte, sur la base des normes de sensibilité et de conservation en vigueur dans l'entreprise. Réviser et mettre à jour la documentation chaque année, ou lorsque des changements importants interviennent dans l'entreprise et pourraient avoir une incidence sur cette mesure de sauvegarde.</v>
      </c>
      <c r="F14" s="8" t="s">
        <v>108</v>
      </c>
      <c r="G14" s="171" t="s">
        <v>106</v>
      </c>
      <c r="H14" s="8"/>
      <c r="I14" s="92" cm="1">
        <f t="array" aca="1" ref="I14"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4" s="8">
        <f ca="1">IF(tbl_Safeguards[[#This Row],[En place
In place]]&lt;&gt;"N/A",_xlfn.XLOOKUP(tbl_Safeguards[[#This Row],[IG
IG]],tbl_safeguardWeightIG[IG],tbl_safeguardWeightIG[Weight]),"")</f>
        <v>1</v>
      </c>
      <c r="K14" s="8" cm="1">
        <f t="array" aca="1" ref="K1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15" spans="1:15" ht="75" hidden="1">
      <c r="A15" t="str">
        <f>tbl_REF_CIS_Safeguards[[#This Row],[SafeguardID]]</f>
        <v>03.02</v>
      </c>
      <c r="B15">
        <f>tbl_REF_CIS_Safeguards[[#This Row],[ControlID]]</f>
        <v>3</v>
      </c>
      <c r="C15" s="8" t="str" cm="1">
        <f t="array" aca="1" ref="C15" ca="1">_xlfn.XLOOKUP(tbl_Safeguards[[#This Row],[ControlID]],tbl_REF_CIS_Controls[ControlID],INDIRECT("tbl_REF_CIS_Controls[ControlName"&amp;DocumentLanguage&amp;"]"))</f>
        <v>Protection des données</v>
      </c>
      <c r="D15" s="8" t="str" cm="1">
        <f t="array" aca="1" ref="D15" ca="1">INDIRECT("tbl_REF_CIS_Safeguards[@Title"&amp;DocumentLanguage&amp;"]")</f>
        <v>Établir et maintenir un inventaire des données</v>
      </c>
      <c r="E15" s="8" t="str" cm="1">
        <f t="array" aca="1" ref="E15" ca="1">INDIRECT("tbl_REF_CIS_Safeguards[@Description"&amp;DocumentLanguage&amp;"]")</f>
        <v>Établir et tenir à jour un inventaire des données basé sur le processus de gestion des données de l'entreprise. Inventorier les données sensibles au moins une fois par an. Réviser et mettre à jour l'inventaire au moins une fois par an, en accordant la priorité aux données sensibles.</v>
      </c>
      <c r="F15" s="8"/>
      <c r="G15" s="171" t="s">
        <v>106</v>
      </c>
      <c r="H15" s="8"/>
      <c r="I15" s="92" cm="1">
        <f t="array" aca="1" ref="I15"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5" s="8">
        <f ca="1">IF(tbl_Safeguards[[#This Row],[En place
In place]]&lt;&gt;"N/A",_xlfn.XLOOKUP(tbl_Safeguards[[#This Row],[IG
IG]],tbl_safeguardWeightIG[IG],tbl_safeguardWeightIG[Weight]),"")</f>
        <v>1</v>
      </c>
      <c r="K15" s="8" cm="1">
        <f t="array" aca="1" ref="K1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16" spans="1:15" ht="75" hidden="1">
      <c r="A16" t="str">
        <f>tbl_REF_CIS_Safeguards[[#This Row],[SafeguardID]]</f>
        <v>03.03</v>
      </c>
      <c r="B16">
        <f>tbl_REF_CIS_Safeguards[[#This Row],[ControlID]]</f>
        <v>3</v>
      </c>
      <c r="C16" s="8" t="str" cm="1">
        <f t="array" aca="1" ref="C16" ca="1">_xlfn.XLOOKUP(tbl_Safeguards[[#This Row],[ControlID]],tbl_REF_CIS_Controls[ControlID],INDIRECT("tbl_REF_CIS_Controls[ControlName"&amp;DocumentLanguage&amp;"]"))</f>
        <v>Protection des données</v>
      </c>
      <c r="D16" s="8" t="str" cm="1">
        <f t="array" aca="1" ref="D16" ca="1">INDIRECT("tbl_REF_CIS_Safeguards[@Title"&amp;DocumentLanguage&amp;"]")</f>
        <v>Configuration des listes de contrôle d'accès aux données</v>
      </c>
      <c r="E16" s="8" t="str" cm="1">
        <f t="array" aca="1" ref="E16" ca="1">INDIRECT("tbl_REF_CIS_Safeguards[@Description"&amp;DocumentLanguage&amp;"]")</f>
        <v>Configurer les listes de contrôle d'accès aux données en fonction du besoin d'en connaître de l'utilisateur. Appliquer des listes de contrôle d'accès aux données, également connues sous le nom d'autorisations d'accès, aux systèmes de fichiers locaux et distants, aux bases de données et aux applications.</v>
      </c>
      <c r="F16" s="8" t="s">
        <v>109</v>
      </c>
      <c r="G16" s="171" t="s">
        <v>106</v>
      </c>
      <c r="H16" s="8"/>
      <c r="I16" s="92" cm="1">
        <f t="array" aca="1" ref="I16"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6" s="8">
        <f ca="1">IF(tbl_Safeguards[[#This Row],[En place
In place]]&lt;&gt;"N/A",_xlfn.XLOOKUP(tbl_Safeguards[[#This Row],[IG
IG]],tbl_safeguardWeightIG[IG],tbl_safeguardWeightIG[Weight]),"")</f>
        <v>1</v>
      </c>
      <c r="K16" s="8" cm="1">
        <f t="array" aca="1" ref="K1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17" spans="1:11" ht="45" hidden="1">
      <c r="A17" t="str">
        <f>tbl_REF_CIS_Safeguards[[#This Row],[SafeguardID]]</f>
        <v>03.04</v>
      </c>
      <c r="B17">
        <f>tbl_REF_CIS_Safeguards[[#This Row],[ControlID]]</f>
        <v>3</v>
      </c>
      <c r="C17" s="8" t="str" cm="1">
        <f t="array" aca="1" ref="C17" ca="1">_xlfn.XLOOKUP(tbl_Safeguards[[#This Row],[ControlID]],tbl_REF_CIS_Controls[ControlID],INDIRECT("tbl_REF_CIS_Controls[ControlName"&amp;DocumentLanguage&amp;"]"))</f>
        <v>Protection des données</v>
      </c>
      <c r="D17" s="8" t="str" cm="1">
        <f t="array" aca="1" ref="D17" ca="1">INDIRECT("tbl_REF_CIS_Safeguards[@Title"&amp;DocumentLanguage&amp;"]")</f>
        <v>Appliquer la conservation des données</v>
      </c>
      <c r="E17" s="8" t="str" cm="1">
        <f t="array" aca="1" ref="E17" ca="1">INDIRECT("tbl_REF_CIS_Safeguards[@Description"&amp;DocumentLanguage&amp;"]")</f>
        <v>Conserver les données conformément au processus documenté de gestion des données de l'entreprise. La conservation des données doit comprendre des délais minimums et maximums.</v>
      </c>
      <c r="F17" s="8"/>
      <c r="G17" s="171" t="s">
        <v>106</v>
      </c>
      <c r="H17" s="8"/>
      <c r="I17" s="92" cm="1">
        <f t="array" aca="1" ref="I17"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7" s="8">
        <f ca="1">IF(tbl_Safeguards[[#This Row],[En place
In place]]&lt;&gt;"N/A",_xlfn.XLOOKUP(tbl_Safeguards[[#This Row],[IG
IG]],tbl_safeguardWeightIG[IG],tbl_safeguardWeightIG[Weight]),"")</f>
        <v>1</v>
      </c>
      <c r="K17" s="8" cm="1">
        <f t="array" aca="1" ref="K1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18" spans="1:11" ht="60">
      <c r="A18" t="str">
        <f>tbl_REF_CIS_Safeguards[[#This Row],[SafeguardID]]</f>
        <v>03.05</v>
      </c>
      <c r="B18">
        <f>tbl_REF_CIS_Safeguards[[#This Row],[ControlID]]</f>
        <v>3</v>
      </c>
      <c r="C18" s="8" t="str" cm="1">
        <f t="array" aca="1" ref="C18" ca="1">_xlfn.XLOOKUP(tbl_Safeguards[[#This Row],[ControlID]],tbl_REF_CIS_Controls[ControlID],INDIRECT("tbl_REF_CIS_Controls[ControlName"&amp;DocumentLanguage&amp;"]"))</f>
        <v>Protection des données</v>
      </c>
      <c r="D18" s="8" t="str" cm="1">
        <f t="array" aca="1" ref="D18" ca="1">INDIRECT("tbl_REF_CIS_Safeguards[@Title"&amp;DocumentLanguage&amp;"]")</f>
        <v>Éliminer les données en toute sécurité</v>
      </c>
      <c r="E18" s="8" t="str" cm="1">
        <f t="array" aca="1" ref="E18" ca="1">INDIRECT("tbl_REF_CIS_Safeguards[@Description"&amp;DocumentLanguage&amp;"]")</f>
        <v>Éliminer les données en toute sécurité, conformément au processus documenté de gestion des données de l'entreprise. Veiller à ce que le processus et la méthode d'élimination soient proportionnels à la sensibilité des données.</v>
      </c>
      <c r="F18" s="8" t="s">
        <v>110</v>
      </c>
      <c r="G18" s="170" t="s">
        <v>111</v>
      </c>
      <c r="H18" s="8"/>
      <c r="I18" s="92" cm="1">
        <f t="array" aca="1" ref="I18"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8" s="8">
        <f ca="1">IF(tbl_Safeguards[[#This Row],[En place
In place]]&lt;&gt;"N/A",_xlfn.XLOOKUP(tbl_Safeguards[[#This Row],[IG
IG]],tbl_safeguardWeightIG[IG],tbl_safeguardWeightIG[Weight]),"")</f>
        <v>1</v>
      </c>
      <c r="K18" s="8" cm="1">
        <f t="array" aca="1" ref="K1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9" spans="1:11" ht="60" hidden="1">
      <c r="A19" t="str">
        <f>tbl_REF_CIS_Safeguards[[#This Row],[SafeguardID]]</f>
        <v>03.06</v>
      </c>
      <c r="B19">
        <f>tbl_REF_CIS_Safeguards[[#This Row],[ControlID]]</f>
        <v>3</v>
      </c>
      <c r="C19" s="8" t="str" cm="1">
        <f t="array" aca="1" ref="C19" ca="1">_xlfn.XLOOKUP(tbl_Safeguards[[#This Row],[ControlID]],tbl_REF_CIS_Controls[ControlID],INDIRECT("tbl_REF_CIS_Controls[ControlName"&amp;DocumentLanguage&amp;"]"))</f>
        <v>Protection des données</v>
      </c>
      <c r="D19" s="8" t="str" cm="1">
        <f t="array" aca="1" ref="D19" ca="1">INDIRECT("tbl_REF_CIS_Safeguards[@Title"&amp;DocumentLanguage&amp;"]")</f>
        <v>Chiffrer les données sur les appareils des utilisateurs finaux</v>
      </c>
      <c r="E19" s="8" t="str" cm="1">
        <f t="array" aca="1" ref="E19" ca="1">INDIRECT("tbl_REF_CIS_Safeguards[@Description"&amp;DocumentLanguage&amp;"]")</f>
        <v>Chiffrer les données sur les appareils des utilisateurs finaux contenant des données sensibles. Les exemples de mise en œuvre sont les suivants : Windows BitLocker®, Apple FileVault Windows BitLocker®, Apple FileVault®, Linux® dm-crypt.</v>
      </c>
      <c r="F19" s="8" t="str" cm="1">
        <f t="array" aca="1" ref="F19" ca="1">INDIRECT("tbl_REF_CIS_Safeguards[@Comment"&amp;DocumentLanguage&amp;"]")</f>
        <v>* Si un poste corporatif, oui. Sinon, à valider si BitDefender est activé.</v>
      </c>
      <c r="G19" s="171" t="s">
        <v>107</v>
      </c>
      <c r="H19" s="8"/>
      <c r="I19" s="92" cm="1">
        <f t="array" aca="1" ref="I19"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9" s="8" t="str">
        <f ca="1">IF(tbl_Safeguards[[#This Row],[En place
In place]]&lt;&gt;"N/A",_xlfn.XLOOKUP(tbl_Safeguards[[#This Row],[IG
IG]],tbl_safeguardWeightIG[IG],tbl_safeguardWeightIG[Weight]),"")</f>
        <v/>
      </c>
      <c r="K19" s="8" t="str" cm="1">
        <f t="array" aca="1" ref="K1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20" spans="1:11" ht="105" hidden="1">
      <c r="A20" t="str">
        <f>tbl_REF_CIS_Safeguards[[#This Row],[SafeguardID]]</f>
        <v>03.07</v>
      </c>
      <c r="B20">
        <f>tbl_REF_CIS_Safeguards[[#This Row],[ControlID]]</f>
        <v>3</v>
      </c>
      <c r="C20" s="8" t="str" cm="1">
        <f t="array" aca="1" ref="C20" ca="1">_xlfn.XLOOKUP(tbl_Safeguards[[#This Row],[ControlID]],tbl_REF_CIS_Controls[ControlID],INDIRECT("tbl_REF_CIS_Controls[ControlName"&amp;DocumentLanguage&amp;"]"))</f>
        <v>Protection des données</v>
      </c>
      <c r="D20" s="8" t="str" cm="1">
        <f t="array" aca="1" ref="D20" ca="1">INDIRECT("tbl_REF_CIS_Safeguards[@Title"&amp;DocumentLanguage&amp;"]")</f>
        <v>Établir et maintenir un système de classification des données</v>
      </c>
      <c r="E20" s="8" t="str" cm="1">
        <f t="array" aca="1" ref="E20" ca="1">INDIRECT("tbl_REF_CIS_Safeguards[@Description"&amp;DocumentLanguage&amp;"]")</f>
        <v>Établir et maintenir un système global de classification des données pour l'entreprise. Les entreprises peuvent utiliser des étiquettes, telles que « sensible », « confidentiel » et « public », et classer leurs données en fonction de ces étiquettes. Réviser et mettre à jour le système de classification chaque année, ou lorsque des changements importants interviennent dans l'entreprise et pourraient avoir une incidence sur cette mesure de sauvegarde.</v>
      </c>
      <c r="F20" s="8" t="s">
        <v>112</v>
      </c>
      <c r="G20" s="171" t="s">
        <v>106</v>
      </c>
      <c r="H20" s="8"/>
      <c r="I20" s="92" cm="1">
        <f t="array" aca="1" ref="I20"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20" s="8">
        <f ca="1">IF(tbl_Safeguards[[#This Row],[En place
In place]]&lt;&gt;"N/A",_xlfn.XLOOKUP(tbl_Safeguards[[#This Row],[IG
IG]],tbl_safeguardWeightIG[IG],tbl_safeguardWeightIG[Weight]),"")</f>
        <v>0.75</v>
      </c>
      <c r="K20" s="8" cm="1">
        <f t="array" aca="1" ref="K2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21" spans="1:11" ht="105" hidden="1">
      <c r="A21" t="str">
        <f>tbl_REF_CIS_Safeguards[[#This Row],[SafeguardID]]</f>
        <v>03.08</v>
      </c>
      <c r="B21">
        <f>tbl_REF_CIS_Safeguards[[#This Row],[ControlID]]</f>
        <v>3</v>
      </c>
      <c r="C21" s="8" t="str" cm="1">
        <f t="array" aca="1" ref="C21" ca="1">_xlfn.XLOOKUP(tbl_Safeguards[[#This Row],[ControlID]],tbl_REF_CIS_Controls[ControlID],INDIRECT("tbl_REF_CIS_Controls[ControlName"&amp;DocumentLanguage&amp;"]"))</f>
        <v>Protection des données</v>
      </c>
      <c r="D21" s="8" t="str" cm="1">
        <f t="array" aca="1" ref="D21" ca="1">INDIRECT("tbl_REF_CIS_Safeguards[@Title"&amp;DocumentLanguage&amp;"]")</f>
        <v>Flux de données des documents</v>
      </c>
      <c r="E21" s="8" t="str" cm="1">
        <f t="array" aca="1" ref="E21" ca="1">INDIRECT("tbl_REF_CIS_Safeguards[@Description"&amp;DocumentLanguage&amp;"]")</f>
        <v>Documenter les flux de données. La documentation des flux de données comprend les flux de données des fournisseurs de services et doit être basée sur le processus de gestion des données de l'entreprise. La documentation doit être revue et mise à jour chaque année, ou lorsque des changements importants au sein de l'entreprise sont susceptibles d'avoir une incidence sur cette mesure de sauvegarde.</v>
      </c>
      <c r="F21" s="8" t="str" cm="1">
        <f t="array" aca="1" ref="F21" ca="1">INDIRECT("tbl_REF_CIS_Safeguards[@Comment"&amp;DocumentLanguage&amp;"]")</f>
        <v/>
      </c>
      <c r="G21" t="s">
        <v>17</v>
      </c>
      <c r="H21" s="8"/>
      <c r="I21" s="92" cm="1">
        <f t="array" aca="1" ref="I21"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21" s="8">
        <f ca="1">IF(tbl_Safeguards[[#This Row],[En place
In place]]&lt;&gt;"N/A",_xlfn.XLOOKUP(tbl_Safeguards[[#This Row],[IG
IG]],tbl_safeguardWeightIG[IG],tbl_safeguardWeightIG[Weight]),"")</f>
        <v>0.75</v>
      </c>
      <c r="K21" s="8" cm="1">
        <f t="array" aca="1" ref="K2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22" spans="1:11" ht="105" hidden="1">
      <c r="A22" t="str">
        <f>tbl_REF_CIS_Safeguards[[#This Row],[SafeguardID]]</f>
        <v>03.09</v>
      </c>
      <c r="B22">
        <f>tbl_REF_CIS_Safeguards[[#This Row],[ControlID]]</f>
        <v>3</v>
      </c>
      <c r="C22" s="8" t="str" cm="1">
        <f t="array" aca="1" ref="C22" ca="1">_xlfn.XLOOKUP(tbl_Safeguards[[#This Row],[ControlID]],tbl_REF_CIS_Controls[ControlID],INDIRECT("tbl_REF_CIS_Controls[ControlName"&amp;DocumentLanguage&amp;"]"))</f>
        <v>Protection des données</v>
      </c>
      <c r="D22" s="8" t="str" cm="1">
        <f t="array" aca="1" ref="D22" ca="1">INDIRECT("tbl_REF_CIS_Safeguards[@Title"&amp;DocumentLanguage&amp;"]")</f>
        <v>Chiffrer des données sur des supports amovibles</v>
      </c>
      <c r="E22" s="8" t="str" cm="1">
        <f t="array" aca="1" ref="E22" ca="1">INDIRECT("tbl_REF_CIS_Safeguards[@Description"&amp;DocumentLanguage&amp;"]")</f>
        <v>Chiffrer les données sur les supports amovibles.</v>
      </c>
      <c r="F22" s="8" t="s">
        <v>113</v>
      </c>
      <c r="G22" t="s">
        <v>106</v>
      </c>
      <c r="H22" s="8"/>
      <c r="I22" s="92" cm="1">
        <f t="array" aca="1" ref="I22"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22" s="8">
        <f ca="1">IF(tbl_Safeguards[[#This Row],[En place
In place]]&lt;&gt;"N/A",_xlfn.XLOOKUP(tbl_Safeguards[[#This Row],[IG
IG]],tbl_safeguardWeightIG[IG],tbl_safeguardWeightIG[Weight]),"")</f>
        <v>0.75</v>
      </c>
      <c r="K22" s="8" cm="1">
        <f t="array" aca="1" ref="K2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23" spans="1:11" ht="45" hidden="1">
      <c r="A23" t="str">
        <f>tbl_REF_CIS_Safeguards[[#This Row],[SafeguardID]]</f>
        <v>03.10</v>
      </c>
      <c r="B23">
        <f>tbl_REF_CIS_Safeguards[[#This Row],[ControlID]]</f>
        <v>3</v>
      </c>
      <c r="C23" s="8" t="str" cm="1">
        <f t="array" aca="1" ref="C23" ca="1">_xlfn.XLOOKUP(tbl_Safeguards[[#This Row],[ControlID]],tbl_REF_CIS_Controls[ControlID],INDIRECT("tbl_REF_CIS_Controls[ControlName"&amp;DocumentLanguage&amp;"]"))</f>
        <v>Protection des données</v>
      </c>
      <c r="D23" s="8" t="str" cm="1">
        <f t="array" aca="1" ref="D23" ca="1">INDIRECT("tbl_REF_CIS_Safeguards[@Title"&amp;DocumentLanguage&amp;"]")</f>
        <v>Chiffrer les données sensibles en transit</v>
      </c>
      <c r="E23" s="8" t="str" cm="1">
        <f t="array" aca="1" ref="E23" ca="1">INDIRECT("tbl_REF_CIS_Safeguards[@Description"&amp;DocumentLanguage&amp;"]")</f>
        <v>Chiffrer les données sensibles en transit. Les exemples de mise en œuvre sont les suivants : Transport Layer Security (TLS) et Open Secure Shell (OpenSSH).</v>
      </c>
      <c r="F23" s="8" t="s">
        <v>114</v>
      </c>
      <c r="G23" t="s">
        <v>17</v>
      </c>
      <c r="H23" s="8"/>
      <c r="I23" s="92" cm="1">
        <f t="array" aca="1" ref="I23"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23" s="8">
        <f ca="1">IF(tbl_Safeguards[[#This Row],[En place
In place]]&lt;&gt;"N/A",_xlfn.XLOOKUP(tbl_Safeguards[[#This Row],[IG
IG]],tbl_safeguardWeightIG[IG],tbl_safeguardWeightIG[Weight]),"")</f>
        <v>0.75</v>
      </c>
      <c r="K23" s="8" cm="1">
        <f t="array" aca="1" ref="K2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24" spans="1:11" ht="120" hidden="1">
      <c r="A24" t="str">
        <f>tbl_REF_CIS_Safeguards[[#This Row],[SafeguardID]]</f>
        <v>03.11</v>
      </c>
      <c r="B24">
        <f>tbl_REF_CIS_Safeguards[[#This Row],[ControlID]]</f>
        <v>3</v>
      </c>
      <c r="C24" s="8" t="str" cm="1">
        <f t="array" aca="1" ref="C24" ca="1">_xlfn.XLOOKUP(tbl_Safeguards[[#This Row],[ControlID]],tbl_REF_CIS_Controls[ControlID],INDIRECT("tbl_REF_CIS_Controls[ControlName"&amp;DocumentLanguage&amp;"]"))</f>
        <v>Protection des données</v>
      </c>
      <c r="D24" s="8" t="str" cm="1">
        <f t="array" aca="1" ref="D24" ca="1">INDIRECT("tbl_REF_CIS_Safeguards[@Title"&amp;DocumentLanguage&amp;"]")</f>
        <v>Chiffrer les données sensibles au repos</v>
      </c>
      <c r="E24" s="8" t="str" cm="1">
        <f t="array" aca="1" ref="E24" ca="1">INDIRECT("tbl_REF_CIS_Safeguards[@Description"&amp;DocumentLanguage&amp;"]")</f>
        <v xml:space="preserve">Chiffrer les données sensibles au repos sur les serveurs, les applications et les bases de données. Le cryptage de la couche de stockage, également connu sous le nom de cryptage côté serveur, répond à l'exigence minimale de cette mesure de sauvegarde. D'autres méthodes de cryptage peuvent inclure le cryptage de la couche application, également connu sous le nom de cryptage côté client, lorsque l'accès au(x) dispositif(s) de stockage des données ne permet pas d'accéder aux données en texte clair. </v>
      </c>
      <c r="F24" s="8" t="s">
        <v>115</v>
      </c>
      <c r="G24" t="s">
        <v>106</v>
      </c>
      <c r="H24" s="8"/>
      <c r="I24" s="92" cm="1">
        <f t="array" aca="1" ref="I24"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24" s="8">
        <f ca="1">IF(tbl_Safeguards[[#This Row],[En place
In place]]&lt;&gt;"N/A",_xlfn.XLOOKUP(tbl_Safeguards[[#This Row],[IG
IG]],tbl_safeguardWeightIG[IG],tbl_safeguardWeightIG[Weight]),"")</f>
        <v>0.75</v>
      </c>
      <c r="K24" s="8" cm="1">
        <f t="array" aca="1" ref="K2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25" spans="1:11" ht="45" hidden="1">
      <c r="A25" t="str">
        <f>tbl_REF_CIS_Safeguards[[#This Row],[SafeguardID]]</f>
        <v>03.12</v>
      </c>
      <c r="B25">
        <f>tbl_REF_CIS_Safeguards[[#This Row],[ControlID]]</f>
        <v>3</v>
      </c>
      <c r="C25" s="8" t="str" cm="1">
        <f t="array" aca="1" ref="C25" ca="1">_xlfn.XLOOKUP(tbl_Safeguards[[#This Row],[ControlID]],tbl_REF_CIS_Controls[ControlID],INDIRECT("tbl_REF_CIS_Controls[ControlName"&amp;DocumentLanguage&amp;"]"))</f>
        <v>Protection des données</v>
      </c>
      <c r="D25" s="8" t="str" cm="1">
        <f t="array" aca="1" ref="D25" ca="1">INDIRECT("tbl_REF_CIS_Safeguards[@Title"&amp;DocumentLanguage&amp;"]")</f>
        <v>Segmenter le traitement et le stockage des données en fonction de leur sensibilité</v>
      </c>
      <c r="E25" s="8" t="str" cm="1">
        <f t="array" aca="1" ref="E25" ca="1">INDIRECT("tbl_REF_CIS_Safeguards[@Description"&amp;DocumentLanguage&amp;"]")</f>
        <v>Segmenter le traitement et le stockage des données en fonction de leur sensibilité. Ne traitez pas de données sensibles sur des actifs de l'entreprise destinés à des données moins sensibles.</v>
      </c>
      <c r="F25" s="8" t="s">
        <v>116</v>
      </c>
      <c r="G25" t="s">
        <v>17</v>
      </c>
      <c r="H25" s="8"/>
      <c r="I25" s="92" cm="1">
        <f t="array" aca="1" ref="I25"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25" s="8">
        <f ca="1">IF(tbl_Safeguards[[#This Row],[En place
In place]]&lt;&gt;"N/A",_xlfn.XLOOKUP(tbl_Safeguards[[#This Row],[IG
IG]],tbl_safeguardWeightIG[IG],tbl_safeguardWeightIG[Weight]),"")</f>
        <v>0.75</v>
      </c>
      <c r="K25" s="8" cm="1">
        <f t="array" aca="1" ref="K2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26" spans="1:11" ht="90" hidden="1">
      <c r="A26" t="str">
        <f>tbl_REF_CIS_Safeguards[[#This Row],[SafeguardID]]</f>
        <v>03.13</v>
      </c>
      <c r="B26">
        <f>tbl_REF_CIS_Safeguards[[#This Row],[ControlID]]</f>
        <v>3</v>
      </c>
      <c r="C26" s="8" t="str" cm="1">
        <f t="array" aca="1" ref="C26" ca="1">_xlfn.XLOOKUP(tbl_Safeguards[[#This Row],[ControlID]],tbl_REF_CIS_Controls[ControlID],INDIRECT("tbl_REF_CIS_Controls[ControlName"&amp;DocumentLanguage&amp;"]"))</f>
        <v>Protection des données</v>
      </c>
      <c r="D26" s="8" t="str" cm="1">
        <f t="array" aca="1" ref="D26" ca="1">INDIRECT("tbl_REF_CIS_Safeguards[@Title"&amp;DocumentLanguage&amp;"]")</f>
        <v>Déployer une solution de prévention de la perte de données
Data Loss Prevention Solution (DLP)</v>
      </c>
      <c r="E26" s="8" t="str" cm="1">
        <f t="array" aca="1" ref="E26" ca="1">INDIRECT("tbl_REF_CIS_Safeguards[@Description"&amp;DocumentLanguage&amp;"]")</f>
        <v>Mettre en œuvre un outil automatisé, tel qu'un outil de prévention des pertes de données (DLP) basé sur l'hôte, afin d'identifier toutes les données sensibles stockées, traitées ou transmises par les actifs de l'entreprise, y compris ceux situés sur le site ou chez un fournisseur de services distant, et mettre à jour l'inventaire des données de l'entreprise.</v>
      </c>
      <c r="F26" s="8" t="str" cm="1">
        <f t="array" aca="1" ref="F26" ca="1">INDIRECT("tbl_REF_CIS_Safeguards[@Comment"&amp;DocumentLanguage&amp;"]")</f>
        <v>* Le DLP corporatif est absent.</v>
      </c>
      <c r="G26" t="s">
        <v>106</v>
      </c>
      <c r="H26" s="8"/>
      <c r="I26" s="92" cm="1">
        <f t="array" aca="1" ref="I26"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26" s="8">
        <f ca="1">IF(tbl_Safeguards[[#This Row],[En place
In place]]&lt;&gt;"N/A",_xlfn.XLOOKUP(tbl_Safeguards[[#This Row],[IG
IG]],tbl_safeguardWeightIG[IG],tbl_safeguardWeightIG[Weight]),"")</f>
        <v>0.5</v>
      </c>
      <c r="K26" s="8" cm="1">
        <f t="array" aca="1" ref="K2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27" spans="1:11" ht="30" hidden="1">
      <c r="A27" t="str">
        <f>tbl_REF_CIS_Safeguards[[#This Row],[SafeguardID]]</f>
        <v>03.14</v>
      </c>
      <c r="B27">
        <f>tbl_REF_CIS_Safeguards[[#This Row],[ControlID]]</f>
        <v>3</v>
      </c>
      <c r="C27" s="8" t="str" cm="1">
        <f t="array" aca="1" ref="C27" ca="1">_xlfn.XLOOKUP(tbl_Safeguards[[#This Row],[ControlID]],tbl_REF_CIS_Controls[ControlID],INDIRECT("tbl_REF_CIS_Controls[ControlName"&amp;DocumentLanguage&amp;"]"))</f>
        <v>Protection des données</v>
      </c>
      <c r="D27" s="8" t="str" cm="1">
        <f t="array" aca="1" ref="D27" ca="1">INDIRECT("tbl_REF_CIS_Safeguards[@Title"&amp;DocumentLanguage&amp;"]")</f>
        <v>Logs : Enregistrer l'accès aux données sensibles</v>
      </c>
      <c r="E27" s="8" t="str" cm="1">
        <f t="array" aca="1" ref="E27" ca="1">INDIRECT("tbl_REF_CIS_Safeguards[@Description"&amp;DocumentLanguage&amp;"]")</f>
        <v xml:space="preserve">Enregistrer l'accès aux données sensibles, y compris leur modification et leur élimination. </v>
      </c>
      <c r="F27" s="8" t="str" cm="1">
        <f t="array" aca="1" ref="F27" ca="1">INDIRECT("tbl_REF_CIS_Safeguards[@Comment"&amp;DocumentLanguage&amp;"]")</f>
        <v>* Si BD corporative, l'accès aux données n'est pas journalisé.</v>
      </c>
      <c r="G27" s="171" t="s">
        <v>106</v>
      </c>
      <c r="H27" s="8"/>
      <c r="I27" s="92" cm="1">
        <f t="array" aca="1" ref="I27"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27" s="8">
        <f ca="1">IF(tbl_Safeguards[[#This Row],[En place
In place]]&lt;&gt;"N/A",_xlfn.XLOOKUP(tbl_Safeguards[[#This Row],[IG
IG]],tbl_safeguardWeightIG[IG],tbl_safeguardWeightIG[Weight]),"")</f>
        <v>0.5</v>
      </c>
      <c r="K27" s="8" cm="1">
        <f t="array" aca="1" ref="K2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28" spans="1:11" ht="120" hidden="1">
      <c r="A28" t="str">
        <f>tbl_REF_CIS_Safeguards[[#This Row],[SafeguardID]]</f>
        <v>04.01</v>
      </c>
      <c r="B28">
        <f>tbl_REF_CIS_Safeguards[[#This Row],[ControlID]]</f>
        <v>4</v>
      </c>
      <c r="C28" s="8" t="str" cm="1">
        <f t="array" aca="1" ref="C28" ca="1">_xlfn.XLOOKUP(tbl_Safeguards[[#This Row],[ControlID]],tbl_REF_CIS_Controls[ControlID],INDIRECT("tbl_REF_CIS_Controls[ControlName"&amp;DocumentLanguage&amp;"]"))</f>
        <v>Configuration sécurisée des actifs et des logiciels de l'entreprise</v>
      </c>
      <c r="D28" s="8" t="str" cm="1">
        <f t="array" aca="1" ref="D28" ca="1">INDIRECT("tbl_REF_CIS_Safeguards[@Title"&amp;DocumentLanguage&amp;"]")</f>
        <v>Établir et maintenir un processus de configuration sécurisé</v>
      </c>
      <c r="E28" s="8" t="str" cm="1">
        <f t="array" aca="1" ref="E28" ca="1">INDIRECT("tbl_REF_CIS_Safeguards[@Description"&amp;DocumentLanguage&amp;"]")</f>
        <v>Établir et maintenir un processus de configuration sécurisée documenté pour les actifs de l'entreprise (dispositifs de l'utilisateur final, y compris portables et mobiles, dispositifs non informatiques/IoT, et serveurs) et les logiciels (systèmes d'exploitation et applications). Examiner et mettre à jour la documentation chaque année, ou lorsque des changements importants au sein de l'entreprise se produisent et pourraient avoir un impact sur cette mesure de sauvegarde.</v>
      </c>
      <c r="F28" s="8" t="str" cm="1">
        <f t="array" aca="1" ref="F28" ca="1">INDIRECT("tbl_REF_CIS_Safeguards[@Comment"&amp;DocumentLanguage&amp;"]")</f>
        <v/>
      </c>
      <c r="G28" t="s">
        <v>17</v>
      </c>
      <c r="H28" s="8"/>
      <c r="I28" s="92" cm="1">
        <f t="array" aca="1" ref="I28"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28" s="8">
        <f ca="1">IF(tbl_Safeguards[[#This Row],[En place
In place]]&lt;&gt;"N/A",_xlfn.XLOOKUP(tbl_Safeguards[[#This Row],[IG
IG]],tbl_safeguardWeightIG[IG],tbl_safeguardWeightIG[Weight]),"")</f>
        <v>1</v>
      </c>
      <c r="K28" s="8" cm="1">
        <f t="array" aca="1" ref="K2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29" spans="1:11" ht="75" hidden="1">
      <c r="A29" t="str">
        <f>tbl_REF_CIS_Safeguards[[#This Row],[SafeguardID]]</f>
        <v>04.02</v>
      </c>
      <c r="B29">
        <f>tbl_REF_CIS_Safeguards[[#This Row],[ControlID]]</f>
        <v>4</v>
      </c>
      <c r="C29" s="8" t="str" cm="1">
        <f t="array" aca="1" ref="C29" ca="1">_xlfn.XLOOKUP(tbl_Safeguards[[#This Row],[ControlID]],tbl_REF_CIS_Controls[ControlID],INDIRECT("tbl_REF_CIS_Controls[ControlName"&amp;DocumentLanguage&amp;"]"))</f>
        <v>Configuration sécurisée des actifs et des logiciels de l'entreprise</v>
      </c>
      <c r="D29" s="8" t="str" cm="1">
        <f t="array" aca="1" ref="D29" ca="1">INDIRECT("tbl_REF_CIS_Safeguards[@Title"&amp;DocumentLanguage&amp;"]")</f>
        <v>Établir et maintenir un processus de configuration sécurisé pour l'infrastructure du réseau</v>
      </c>
      <c r="E29" s="8" t="str" cm="1">
        <f t="array" aca="1" ref="E29" ca="1">INDIRECT("tbl_REF_CIS_Safeguards[@Description"&amp;DocumentLanguage&amp;"]")</f>
        <v>Établir et maintenir un processus de configuration sécurisé et documenté pour les dispositifs du réseau. Examiner et mettre à jour la documentation chaque année, ou lorsque des changements importants interviennent dans l'entreprise et pourraient avoir une incidence sur cette mesure de sauvegarde.</v>
      </c>
      <c r="F29" s="8" t="str" cm="1">
        <f t="array" aca="1" ref="F29" ca="1">INDIRECT("tbl_REF_CIS_Safeguards[@Comment"&amp;DocumentLanguage&amp;"]")</f>
        <v/>
      </c>
      <c r="G29" t="s">
        <v>17</v>
      </c>
      <c r="H29" s="8"/>
      <c r="I29" s="92" cm="1">
        <f t="array" aca="1" ref="I29"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29" s="8">
        <f ca="1">IF(tbl_Safeguards[[#This Row],[En place
In place]]&lt;&gt;"N/A",_xlfn.XLOOKUP(tbl_Safeguards[[#This Row],[IG
IG]],tbl_safeguardWeightIG[IG],tbl_safeguardWeightIG[Weight]),"")</f>
        <v>1</v>
      </c>
      <c r="K29" s="8" cm="1">
        <f t="array" aca="1" ref="K2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30" spans="1:11" ht="75" hidden="1">
      <c r="A30" t="str">
        <f>tbl_REF_CIS_Safeguards[[#This Row],[SafeguardID]]</f>
        <v>04.03</v>
      </c>
      <c r="B30">
        <f>tbl_REF_CIS_Safeguards[[#This Row],[ControlID]]</f>
        <v>4</v>
      </c>
      <c r="C30" s="8" t="str" cm="1">
        <f t="array" aca="1" ref="C30" ca="1">_xlfn.XLOOKUP(tbl_Safeguards[[#This Row],[ControlID]],tbl_REF_CIS_Controls[ControlID],INDIRECT("tbl_REF_CIS_Controls[ControlName"&amp;DocumentLanguage&amp;"]"))</f>
        <v>Configuration sécurisée des actifs et des logiciels de l'entreprise</v>
      </c>
      <c r="D30" s="8" t="str" cm="1">
        <f t="array" aca="1" ref="D30" ca="1">INDIRECT("tbl_REF_CIS_Safeguards[@Title"&amp;DocumentLanguage&amp;"]")</f>
        <v>Configurer le verrouillage automatique des sessions sur les biens d'entreprise</v>
      </c>
      <c r="E30" s="8" t="str" cm="1">
        <f t="array" aca="1" ref="E30" ca="1">INDIRECT("tbl_REF_CIS_Safeguards[@Description"&amp;DocumentLanguage&amp;"]")</f>
        <v>Configurer le verrouillage automatique des sessions sur les ressources de l'entreprise après une période d'inactivité définie. Pour les systèmes d'exploitation généraux, la période ne doit pas dépasser 15 minutes. Pour les appareils mobiles des utilisateurs finaux, la période ne doit pas dépasser deux (2) minutes.</v>
      </c>
      <c r="F30" s="8" t="str" cm="1">
        <f t="array" aca="1" ref="F30" ca="1">INDIRECT("tbl_REF_CIS_Safeguards[@Comment"&amp;DocumentLanguage&amp;"]")</f>
        <v>* Si poste de travail corporatif, un verrouillage automatique est configuré.</v>
      </c>
      <c r="G30" t="s">
        <v>107</v>
      </c>
      <c r="H30" s="8"/>
      <c r="I30" s="92" cm="1">
        <f t="array" aca="1" ref="I30"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30" s="8" t="str">
        <f ca="1">IF(tbl_Safeguards[[#This Row],[En place
In place]]&lt;&gt;"N/A",_xlfn.XLOOKUP(tbl_Safeguards[[#This Row],[IG
IG]],tbl_safeguardWeightIG[IG],tbl_safeguardWeightIG[Weight]),"")</f>
        <v/>
      </c>
      <c r="K30" s="8" t="str" cm="1">
        <f t="array" aca="1" ref="K3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31" spans="1:11" ht="60" hidden="1">
      <c r="A31" t="str">
        <f>tbl_REF_CIS_Safeguards[[#This Row],[SafeguardID]]</f>
        <v>04.04</v>
      </c>
      <c r="B31">
        <f>tbl_REF_CIS_Safeguards[[#This Row],[ControlID]]</f>
        <v>4</v>
      </c>
      <c r="C31" s="8" t="str" cm="1">
        <f t="array" aca="1" ref="C31" ca="1">_xlfn.XLOOKUP(tbl_Safeguards[[#This Row],[ControlID]],tbl_REF_CIS_Controls[ControlID],INDIRECT("tbl_REF_CIS_Controls[ControlName"&amp;DocumentLanguage&amp;"]"))</f>
        <v>Configuration sécurisée des actifs et des logiciels de l'entreprise</v>
      </c>
      <c r="D31" s="8" t="str" cm="1">
        <f t="array" aca="1" ref="D31" ca="1">INDIRECT("tbl_REF_CIS_Safeguards[@Title"&amp;DocumentLanguage&amp;"]")</f>
        <v>Mettre en œuvre et gérer un pare-feu sur les serveurs</v>
      </c>
      <c r="E31" s="8" t="str" cm="1">
        <f t="array" aca="1" ref="E31" ca="1">INDIRECT("tbl_REF_CIS_Safeguards[@Description"&amp;DocumentLanguage&amp;"]")</f>
        <v>Mettre en œuvre et gérer un pare-feu sur les serveurs, le cas échéant. Les exemples d'implémentation incluent un pare-feu virtuel, un pare-feu de système d'exploitation ou un agent de pare-feu tiers.</v>
      </c>
      <c r="F31" s="8" t="str" cm="1">
        <f t="array" aca="1" ref="F31" ca="1">INDIRECT("tbl_REF_CIS_Safeguards[@Comment"&amp;DocumentLanguage&amp;"]")</f>
        <v>* Si postes corporatifs et serveurs corporatifs, les parre-feu ne sont pas configurés.</v>
      </c>
      <c r="G31" t="s">
        <v>17</v>
      </c>
      <c r="H31" s="8"/>
      <c r="I31" s="92" cm="1">
        <f t="array" aca="1" ref="I31"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31" s="8">
        <f ca="1">IF(tbl_Safeguards[[#This Row],[En place
In place]]&lt;&gt;"N/A",_xlfn.XLOOKUP(tbl_Safeguards[[#This Row],[IG
IG]],tbl_safeguardWeightIG[IG],tbl_safeguardWeightIG[Weight]),"")</f>
        <v>1</v>
      </c>
      <c r="K31" s="8" cm="1">
        <f t="array" aca="1" ref="K3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32" spans="1:11" ht="60" hidden="1">
      <c r="A32" t="str">
        <f>tbl_REF_CIS_Safeguards[[#This Row],[SafeguardID]]</f>
        <v>04.05</v>
      </c>
      <c r="B32">
        <f>tbl_REF_CIS_Safeguards[[#This Row],[ControlID]]</f>
        <v>4</v>
      </c>
      <c r="C32" s="8" t="str" cm="1">
        <f t="array" aca="1" ref="C32" ca="1">_xlfn.XLOOKUP(tbl_Safeguards[[#This Row],[ControlID]],tbl_REF_CIS_Controls[ControlID],INDIRECT("tbl_REF_CIS_Controls[ControlName"&amp;DocumentLanguage&amp;"]"))</f>
        <v>Configuration sécurisée des actifs et des logiciels de l'entreprise</v>
      </c>
      <c r="D32" s="8" t="str" cm="1">
        <f t="array" aca="1" ref="D32" ca="1">INDIRECT("tbl_REF_CIS_Safeguards[@Title"&amp;DocumentLanguage&amp;"]")</f>
        <v>Mise en œuvre et gestion d'un pare-feu sur les appareils des utilisateurs finaux</v>
      </c>
      <c r="E32" s="8" t="str" cm="1">
        <f t="array" aca="1" ref="E32" ca="1">INDIRECT("tbl_REF_CIS_Safeguards[@Description"&amp;DocumentLanguage&amp;"]")</f>
        <v>Mettre en œuvre et gérer un pare-feu basé sur l'hôte ou un outil de filtrage des ports sur les appareils des utilisateurs finaux, avec une règle de refus par défaut qui bloque tout le trafic à l'exception des services et des ports explicitement autorisés.</v>
      </c>
      <c r="F32" s="8" t="str" cm="1">
        <f t="array" aca="1" ref="F32" ca="1">INDIRECT("tbl_REF_CIS_Safeguards[@Comment"&amp;DocumentLanguage&amp;"]")</f>
        <v>* Si postes corporatifs et serveurs corporatifs, les parre-feu ne sont pas configurés.</v>
      </c>
      <c r="G32" t="s">
        <v>17</v>
      </c>
      <c r="H32" s="8"/>
      <c r="I32" s="92" cm="1">
        <f t="array" aca="1" ref="I32"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32" s="8">
        <f ca="1">IF(tbl_Safeguards[[#This Row],[En place
In place]]&lt;&gt;"N/A",_xlfn.XLOOKUP(tbl_Safeguards[[#This Row],[IG
IG]],tbl_safeguardWeightIG[IG],tbl_safeguardWeightIG[Weight]),"")</f>
        <v>1</v>
      </c>
      <c r="K32" s="8" cm="1">
        <f t="array" aca="1" ref="K3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33" spans="1:11" ht="135" hidden="1">
      <c r="A33" t="str">
        <f>tbl_REF_CIS_Safeguards[[#This Row],[SafeguardID]]</f>
        <v>04.06</v>
      </c>
      <c r="B33">
        <f>tbl_REF_CIS_Safeguards[[#This Row],[ControlID]]</f>
        <v>4</v>
      </c>
      <c r="C33" s="8" t="str" cm="1">
        <f t="array" aca="1" ref="C33" ca="1">_xlfn.XLOOKUP(tbl_Safeguards[[#This Row],[ControlID]],tbl_REF_CIS_Controls[ControlID],INDIRECT("tbl_REF_CIS_Controls[ControlName"&amp;DocumentLanguage&amp;"]"))</f>
        <v>Configuration sécurisée des actifs et des logiciels de l'entreprise</v>
      </c>
      <c r="D33" s="8" t="str" cm="1">
        <f t="array" aca="1" ref="D33" ca="1">INDIRECT("tbl_REF_CIS_Safeguards[@Title"&amp;DocumentLanguage&amp;"]")</f>
        <v>Gérer en toute sécurité les actifs et les logiciels de l'entreprise</v>
      </c>
      <c r="E33" s="8" t="str" cm="1">
        <f t="array" aca="1" ref="E33" ca="1">INDIRECT("tbl_REF_CIS_Safeguards[@Description"&amp;DocumentLanguage&amp;"]")</f>
        <v>Gérer en toute sécurité les actifs et les logiciels de l'entreprise. Les exemples de mise en œuvre comprennent la gestion de la configuration par le biais d'une infrastructure en tant que code (IaC) contrôlée par version et l'accès aux interfaces administratives par le biais de protocoles réseau sécurisés, tels que Secure Shell (SSH) et Hypertext Transfer Protocol Secure (HTTPS). N'utilisez pas de protocoles de gestion non sécurisés, tels que Telnet (Teletype Network) et HTTP, à moins qu'ils ne soient essentiels du point de vue opérationnel.</v>
      </c>
      <c r="F33" s="8" t="str" cm="1">
        <f t="array" aca="1" ref="F33" ca="1">INDIRECT("tbl_REF_CIS_Safeguards[@Comment"&amp;DocumentLanguage&amp;"]")</f>
        <v/>
      </c>
      <c r="G33" t="s">
        <v>17</v>
      </c>
      <c r="H33" s="8"/>
      <c r="I33" s="92" cm="1">
        <f t="array" aca="1" ref="I33"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33" s="8">
        <f ca="1">IF(tbl_Safeguards[[#This Row],[En place
In place]]&lt;&gt;"N/A",_xlfn.XLOOKUP(tbl_Safeguards[[#This Row],[IG
IG]],tbl_safeguardWeightIG[IG],tbl_safeguardWeightIG[Weight]),"")</f>
        <v>1</v>
      </c>
      <c r="K33" s="8" cm="1">
        <f t="array" aca="1" ref="K3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34" spans="1:11" ht="75">
      <c r="A34" t="str">
        <f>tbl_REF_CIS_Safeguards[[#This Row],[SafeguardID]]</f>
        <v>04.07</v>
      </c>
      <c r="B34">
        <f>tbl_REF_CIS_Safeguards[[#This Row],[ControlID]]</f>
        <v>4</v>
      </c>
      <c r="C34" s="8" t="str" cm="1">
        <f t="array" aca="1" ref="C34" ca="1">_xlfn.XLOOKUP(tbl_Safeguards[[#This Row],[ControlID]],tbl_REF_CIS_Controls[ControlID],INDIRECT("tbl_REF_CIS_Controls[ControlName"&amp;DocumentLanguage&amp;"]"))</f>
        <v>Configuration sécurisée des actifs et des logiciels de l'entreprise</v>
      </c>
      <c r="D34" s="8" t="str" cm="1">
        <f t="array" aca="1" ref="D34" ca="1">INDIRECT("tbl_REF_CIS_Safeguards[@Title"&amp;DocumentLanguage&amp;"]")</f>
        <v>Gérer les comptes par défaut des biens et logiciels de l'entreprise</v>
      </c>
      <c r="E34" s="8" t="str" cm="1">
        <f t="array" aca="1" ref="E34" ca="1">INDIRECT("tbl_REF_CIS_Safeguards[@Description"&amp;DocumentLanguage&amp;"]")</f>
        <v>Gérer les comptes par défaut sur les biens et les logiciels de l'entreprise, tels que les comptes « root », « administrateur » et autres comptes fournisseurs préconfigurés. Exemples de mise en œuvre : désactiver les comptes par défaut ou les rendre inutilisables.</v>
      </c>
      <c r="F34" s="8" t="s">
        <v>117</v>
      </c>
      <c r="G34" s="172" t="s">
        <v>111</v>
      </c>
      <c r="H34" s="8"/>
      <c r="I34" s="92" cm="1">
        <f t="array" aca="1" ref="I34"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34" s="8">
        <f ca="1">IF(tbl_Safeguards[[#This Row],[En place
In place]]&lt;&gt;"N/A",_xlfn.XLOOKUP(tbl_Safeguards[[#This Row],[IG
IG]],tbl_safeguardWeightIG[IG],tbl_safeguardWeightIG[Weight]),"")</f>
        <v>1</v>
      </c>
      <c r="K34" s="8" cm="1">
        <f t="array" aca="1" ref="K3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35" spans="1:11" ht="45">
      <c r="A35" t="str">
        <f>tbl_REF_CIS_Safeguards[[#This Row],[SafeguardID]]</f>
        <v>04.08</v>
      </c>
      <c r="B35">
        <f>tbl_REF_CIS_Safeguards[[#This Row],[ControlID]]</f>
        <v>4</v>
      </c>
      <c r="C35" s="8" t="str" cm="1">
        <f t="array" aca="1" ref="C35" ca="1">_xlfn.XLOOKUP(tbl_Safeguards[[#This Row],[ControlID]],tbl_REF_CIS_Controls[ControlID],INDIRECT("tbl_REF_CIS_Controls[ControlName"&amp;DocumentLanguage&amp;"]"))</f>
        <v>Configuration sécurisée des actifs et des logiciels de l'entreprise</v>
      </c>
      <c r="D35" s="8" t="str" cm="1">
        <f t="array" aca="1" ref="D35" ca="1">INDIRECT("tbl_REF_CIS_Safeguards[@Title"&amp;DocumentLanguage&amp;"]")</f>
        <v>Désinstaller ou désactiver les services inutiles sur les biens et les logiciels de l'entreprise</v>
      </c>
      <c r="E35" s="8" t="str" cm="1">
        <f t="array" aca="1" ref="E35" ca="1">INDIRECT("tbl_REF_CIS_Safeguards[@Description"&amp;DocumentLanguage&amp;"]")</f>
        <v>Désinstaller ou désactiver les services inutiles sur les actifs et les logiciels de l'entreprise, tels qu'un service de partage de fichiers, un module d'application web ou une fonction de service inutilisés.</v>
      </c>
      <c r="F35" s="8" t="s">
        <v>117</v>
      </c>
      <c r="G35" s="172" t="s">
        <v>17</v>
      </c>
      <c r="H35" s="8"/>
      <c r="I35" s="92" cm="1">
        <f t="array" aca="1" ref="I35"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35" s="8">
        <f ca="1">IF(tbl_Safeguards[[#This Row],[En place
In place]]&lt;&gt;"N/A",_xlfn.XLOOKUP(tbl_Safeguards[[#This Row],[IG
IG]],tbl_safeguardWeightIG[IG],tbl_safeguardWeightIG[Weight]),"")</f>
        <v>0.75</v>
      </c>
      <c r="K35" s="8" cm="1">
        <f t="array" aca="1" ref="K3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36" spans="1:11" ht="75" hidden="1">
      <c r="A36" t="str">
        <f>tbl_REF_CIS_Safeguards[[#This Row],[SafeguardID]]</f>
        <v>04.09</v>
      </c>
      <c r="B36">
        <f>tbl_REF_CIS_Safeguards[[#This Row],[ControlID]]</f>
        <v>4</v>
      </c>
      <c r="C36" s="8" t="str" cm="1">
        <f t="array" aca="1" ref="C36" ca="1">_xlfn.XLOOKUP(tbl_Safeguards[[#This Row],[ControlID]],tbl_REF_CIS_Controls[ControlID],INDIRECT("tbl_REF_CIS_Controls[ControlName"&amp;DocumentLanguage&amp;"]"))</f>
        <v>Configuration sécurisée des actifs et des logiciels de l'entreprise</v>
      </c>
      <c r="D36" s="8" t="str" cm="1">
        <f t="array" aca="1" ref="D36" ca="1">INDIRECT("tbl_REF_CIS_Safeguards[@Title"&amp;DocumentLanguage&amp;"]")</f>
        <v>Configurer des serveurs DNS de confiance sur les biens de l'entreprise</v>
      </c>
      <c r="E36" s="8" t="str" cm="1">
        <f t="array" aca="1" ref="E36" ca="1">INDIRECT("tbl_REF_CIS_Safeguards[@Description"&amp;DocumentLanguage&amp;"]")</f>
        <v>Configurer des serveurs DNS de confiance sur l'infrastructure du réseau. Les exemples de mise en œuvre comprennent la configuration des dispositifs de réseau pour utiliser des serveurs DNS contrôlés par l'entreprise et/ou des serveurs DNS réputés accessibles de l'extérieur.</v>
      </c>
      <c r="F36" s="8"/>
      <c r="G36" s="171" t="s">
        <v>106</v>
      </c>
      <c r="H36" s="8"/>
      <c r="I36" s="92" cm="1">
        <f t="array" aca="1" ref="I36"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36" s="8">
        <f ca="1">IF(tbl_Safeguards[[#This Row],[En place
In place]]&lt;&gt;"N/A",_xlfn.XLOOKUP(tbl_Safeguards[[#This Row],[IG
IG]],tbl_safeguardWeightIG[IG],tbl_safeguardWeightIG[Weight]),"")</f>
        <v>0.75</v>
      </c>
      <c r="K36" s="8" cm="1">
        <f t="array" aca="1" ref="K3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37" spans="1:11" ht="135" hidden="1">
      <c r="A37" t="str">
        <f>tbl_REF_CIS_Safeguards[[#This Row],[SafeguardID]]</f>
        <v>04.10</v>
      </c>
      <c r="B37">
        <f>tbl_REF_CIS_Safeguards[[#This Row],[ControlID]]</f>
        <v>4</v>
      </c>
      <c r="C37" s="8" t="str" cm="1">
        <f t="array" aca="1" ref="C37" ca="1">_xlfn.XLOOKUP(tbl_Safeguards[[#This Row],[ControlID]],tbl_REF_CIS_Controls[ControlID],INDIRECT("tbl_REF_CIS_Controls[ControlName"&amp;DocumentLanguage&amp;"]"))</f>
        <v>Configuration sécurisée des actifs et des logiciels de l'entreprise</v>
      </c>
      <c r="D37" s="8" t="str" cm="1">
        <f t="array" aca="1" ref="D37" ca="1">INDIRECT("tbl_REF_CIS_Safeguards[@Title"&amp;DocumentLanguage&amp;"]")</f>
        <v>Appliquer le verrouillage automatique des appareils portables des utilisateurs finaux</v>
      </c>
      <c r="E37" s="8" t="str" cm="1">
        <f t="array" aca="1" ref="E37" ca="1">INDIRECT("tbl_REF_CIS_Safeguards[@Description"&amp;DocumentLanguage&amp;"]")</f>
        <v>Appliquer le verrouillage automatique des appareils après un seuil prédéterminé de tentatives d'authentification locales infructueuses sur les appareils portables de l'utilisateur final, lorsque cela est possible. Pour les ordinateurs portables, ne pas autoriser plus de 20 tentatives d'authentification infructueuses ; pour les tablettes et les smartphones, pas plus de 10 tentatives d'authentification infructueuses. Parmi les exemples de mise en œuvre, citons Microsoft® InTune Matériel / Appareil Lock et Apple® Configuration Profile maxFailedAttempts.</v>
      </c>
      <c r="F37" s="8" t="str" cm="1">
        <f t="array" aca="1" ref="F37" ca="1">INDIRECT("tbl_REF_CIS_Safeguards[@Comment"&amp;DocumentLanguage&amp;"]")</f>
        <v>* Si poste de travail corporatif, un verrouillage automatique est configuré.</v>
      </c>
      <c r="G37" t="s">
        <v>107</v>
      </c>
      <c r="H37" s="8"/>
      <c r="I37" s="92" cm="1">
        <f t="array" aca="1" ref="I37"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37" s="8" t="str">
        <f ca="1">IF(tbl_Safeguards[[#This Row],[En place
In place]]&lt;&gt;"N/A",_xlfn.XLOOKUP(tbl_Safeguards[[#This Row],[IG
IG]],tbl_safeguardWeightIG[IG],tbl_safeguardWeightIG[Weight]),"")</f>
        <v/>
      </c>
      <c r="K37" s="8" t="str" cm="1">
        <f t="array" aca="1" ref="K3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38" spans="1:11" ht="75" hidden="1">
      <c r="A38" t="str">
        <f>tbl_REF_CIS_Safeguards[[#This Row],[SafeguardID]]</f>
        <v>04.11</v>
      </c>
      <c r="B38">
        <f>tbl_REF_CIS_Safeguards[[#This Row],[ControlID]]</f>
        <v>4</v>
      </c>
      <c r="C38" s="8" t="str" cm="1">
        <f t="array" aca="1" ref="C38" ca="1">_xlfn.XLOOKUP(tbl_Safeguards[[#This Row],[ControlID]],tbl_REF_CIS_Controls[ControlID],INDIRECT("tbl_REF_CIS_Controls[ControlName"&amp;DocumentLanguage&amp;"]"))</f>
        <v>Configuration sécurisée des actifs et des logiciels de l'entreprise</v>
      </c>
      <c r="D38" s="8" t="str" cm="1">
        <f t="array" aca="1" ref="D38" ca="1">INDIRECT("tbl_REF_CIS_Safeguards[@Title"&amp;DocumentLanguage&amp;"]")</f>
        <v>Renforcer la capacité d'effacement à distance sur les appareils portables des utilisateurs finaux</v>
      </c>
      <c r="E38" s="8" t="str" cm="1">
        <f t="array" aca="1" ref="E38" ca="1">INDIRECT("tbl_REF_CIS_Safeguards[@Description"&amp;DocumentLanguage&amp;"]")</f>
        <v>Effacer à distance les données de l'entreprise des appareils portables des utilisateurs finaux appartenant à l'entreprise lorsque cela est jugé nécessaire, par exemple en cas de perte ou de vol d'un appareil, ou lorsqu'une personne ne fait plus partie de l'entreprise.</v>
      </c>
      <c r="F38" s="8" t="str" cm="1">
        <f t="array" aca="1" ref="F38" ca="1">INDIRECT("tbl_REF_CIS_Safeguards[@Comment"&amp;DocumentLanguage&amp;"]")</f>
        <v/>
      </c>
      <c r="G38" t="s">
        <v>107</v>
      </c>
      <c r="H38" s="8"/>
      <c r="I38" s="92" cm="1">
        <f t="array" aca="1" ref="I38"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38" s="8" t="str">
        <f ca="1">IF(tbl_Safeguards[[#This Row],[En place
In place]]&lt;&gt;"N/A",_xlfn.XLOOKUP(tbl_Safeguards[[#This Row],[IG
IG]],tbl_safeguardWeightIG[IG],tbl_safeguardWeightIG[Weight]),"")</f>
        <v/>
      </c>
      <c r="K38" s="8" t="str" cm="1">
        <f t="array" aca="1" ref="K3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39" spans="1:11" ht="90" hidden="1">
      <c r="A39" t="str">
        <f>tbl_REF_CIS_Safeguards[[#This Row],[SafeguardID]]</f>
        <v>04.12</v>
      </c>
      <c r="B39">
        <f>tbl_REF_CIS_Safeguards[[#This Row],[ControlID]]</f>
        <v>4</v>
      </c>
      <c r="C39" s="8" t="str" cm="1">
        <f t="array" aca="1" ref="C39" ca="1">_xlfn.XLOOKUP(tbl_Safeguards[[#This Row],[ControlID]],tbl_REF_CIS_Controls[ControlID],INDIRECT("tbl_REF_CIS_Controls[ControlName"&amp;DocumentLanguage&amp;"]"))</f>
        <v>Configuration sécurisée des actifs et des logiciels de l'entreprise</v>
      </c>
      <c r="D39" s="8" t="str" cm="1">
        <f t="array" aca="1" ref="D39" ca="1">INDIRECT("tbl_REF_CIS_Safeguards[@Title"&amp;DocumentLanguage&amp;"]")</f>
        <v>Séparer les espaces de travail de l'entreprise sur les appareils mobiles des utilisateurs finaux</v>
      </c>
      <c r="E39" s="8" t="str" cm="1">
        <f t="array" aca="1" ref="E39" ca="1">INDIRECT("tbl_REF_CIS_Safeguards[@Description"&amp;DocumentLanguage&amp;"]")</f>
        <v>Veiller à ce que des espaces de travail d'entreprise distincts soient utilisés sur les appareils mobiles des utilisateurs finaux, lorsqu'ils sont pris en charge. Les exemples de mise en œuvre comprennent l'utilisation d'un profil de configuration Apple® ou d'un profil de travail Android™ pour séparer les applications et les données de l'entreprise des applications et des données personnelles.</v>
      </c>
      <c r="F39" s="8" t="str" cm="1">
        <f t="array" aca="1" ref="F39" ca="1">INDIRECT("tbl_REF_CIS_Safeguards[@Comment"&amp;DocumentLanguage&amp;"]")</f>
        <v>* S'assurer que des règles d'accès conditionnel soient en place pour exiger l'utilisation de l'espace d'entreprise.</v>
      </c>
      <c r="G39" t="s">
        <v>107</v>
      </c>
      <c r="H39" s="8"/>
      <c r="I39" s="92" cm="1">
        <f t="array" aca="1" ref="I39"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39" s="8" t="str">
        <f ca="1">IF(tbl_Safeguards[[#This Row],[En place
In place]]&lt;&gt;"N/A",_xlfn.XLOOKUP(tbl_Safeguards[[#This Row],[IG
IG]],tbl_safeguardWeightIG[IG],tbl_safeguardWeightIG[Weight]),"")</f>
        <v/>
      </c>
      <c r="K39" s="8" t="str" cm="1">
        <f t="array" aca="1" ref="K3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40" spans="1:11" ht="105">
      <c r="A40" t="str">
        <f>tbl_REF_CIS_Safeguards[[#This Row],[SafeguardID]]</f>
        <v>05.01</v>
      </c>
      <c r="B40">
        <f>tbl_REF_CIS_Safeguards[[#This Row],[ControlID]]</f>
        <v>5</v>
      </c>
      <c r="C40" s="8" t="str" cm="1">
        <f t="array" aca="1" ref="C40" ca="1">_xlfn.XLOOKUP(tbl_Safeguards[[#This Row],[ControlID]],tbl_REF_CIS_Controls[ControlID],INDIRECT("tbl_REF_CIS_Controls[ControlName"&amp;DocumentLanguage&amp;"]"))</f>
        <v>Gestion des comptes</v>
      </c>
      <c r="D40" s="8" t="str" cm="1">
        <f t="array" aca="1" ref="D40" ca="1">INDIRECT("tbl_REF_CIS_Safeguards[@Title"&amp;DocumentLanguage&amp;"]")</f>
        <v>Établir et tenir à jour un inventaire des comptes</v>
      </c>
      <c r="E40" s="8" t="str" cm="1">
        <f t="array" aca="1" ref="E40" ca="1">INDIRECT("tbl_REF_CIS_Safeguards[@Description"&amp;DocumentLanguage&amp;"]")</f>
        <v>Établir et tenir à jour un inventaire de tous les comptes gérés dans l'entreprise. L'inventaire doit au minimum inclure les comptes utilisateurs, les comptes administrateurs et les comptes de service. L'inventaire doit au moins contenir le nom de la personne, son nom d'utilisateur, les dates de début et de fin et le service. Valider que tous les comptes actifs sont autorisés, selon un calendrier récurrent au minimum trimestriel, ou plus fréquemment.</v>
      </c>
      <c r="F40" s="8" t="s">
        <v>118</v>
      </c>
      <c r="G40" s="171" t="s">
        <v>111</v>
      </c>
      <c r="H40" s="8"/>
      <c r="I40" s="92" cm="1">
        <f t="array" aca="1" ref="I40"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40" s="8">
        <f ca="1">IF(tbl_Safeguards[[#This Row],[En place
In place]]&lt;&gt;"N/A",_xlfn.XLOOKUP(tbl_Safeguards[[#This Row],[IG
IG]],tbl_safeguardWeightIG[IG],tbl_safeguardWeightIG[Weight]),"")</f>
        <v>1</v>
      </c>
      <c r="K40" s="8" cm="1">
        <f t="array" aca="1" ref="K4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41" spans="1:11" ht="90" hidden="1">
      <c r="A41" t="str">
        <f>tbl_REF_CIS_Safeguards[[#This Row],[SafeguardID]]</f>
        <v>05.02</v>
      </c>
      <c r="B41">
        <f>tbl_REF_CIS_Safeguards[[#This Row],[ControlID]]</f>
        <v>5</v>
      </c>
      <c r="C41" s="8" t="str" cm="1">
        <f t="array" aca="1" ref="C41" ca="1">_xlfn.XLOOKUP(tbl_Safeguards[[#This Row],[ControlID]],tbl_REF_CIS_Controls[ControlID],INDIRECT("tbl_REF_CIS_Controls[ControlName"&amp;DocumentLanguage&amp;"]"))</f>
        <v>Gestion des comptes</v>
      </c>
      <c r="D41" s="8" t="str" cm="1">
        <f t="array" aca="1" ref="D41" ca="1">INDIRECT("tbl_REF_CIS_Safeguards[@Title"&amp;DocumentLanguage&amp;"]")</f>
        <v>Utiliser des mots de passe uniques</v>
      </c>
      <c r="E41" s="8" t="str" cm="1">
        <f t="array" aca="1" ref="E41" ca="1">INDIRECT("tbl_REF_CIS_Safeguards[@Description"&amp;DocumentLanguage&amp;"]")</f>
        <v xml:space="preserve">Utiliser des mots de passe uniques pour tous les actifs de l'entreprise. Les meilleures pratiques comprennent, au minimum, un mot de passe de 8 caractères pour les comptes utilisant l'authentification multifactorielle (MFA) et un mot de passe de 14 caractères pour les comptes n'utilisant pas l'authentification multifactorielle. </v>
      </c>
      <c r="F41" s="8" t="str" cm="1">
        <f t="array" aca="1" ref="F41" ca="1">INDIRECT("tbl_REF_CIS_Safeguards[@Comment"&amp;DocumentLanguage&amp;"]")</f>
        <v>* Si uniquement EntraID, oui; Si Okta, non; Si compte local, à valider.</v>
      </c>
      <c r="G41" t="s">
        <v>17</v>
      </c>
      <c r="H41" s="8"/>
      <c r="I41" s="92" cm="1">
        <f t="array" aca="1" ref="I41"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41" s="8">
        <f ca="1">IF(tbl_Safeguards[[#This Row],[En place
In place]]&lt;&gt;"N/A",_xlfn.XLOOKUP(tbl_Safeguards[[#This Row],[IG
IG]],tbl_safeguardWeightIG[IG],tbl_safeguardWeightIG[Weight]),"")</f>
        <v>1</v>
      </c>
      <c r="K41" s="8" cm="1">
        <f t="array" aca="1" ref="K4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42" spans="1:11" ht="45" hidden="1">
      <c r="A42" t="str">
        <f>tbl_REF_CIS_Safeguards[[#This Row],[SafeguardID]]</f>
        <v>05.03</v>
      </c>
      <c r="B42">
        <f>tbl_REF_CIS_Safeguards[[#This Row],[ControlID]]</f>
        <v>5</v>
      </c>
      <c r="C42" s="8" t="str" cm="1">
        <f t="array" aca="1" ref="C42" ca="1">_xlfn.XLOOKUP(tbl_Safeguards[[#This Row],[ControlID]],tbl_REF_CIS_Controls[ControlID],INDIRECT("tbl_REF_CIS_Controls[ControlName"&amp;DocumentLanguage&amp;"]"))</f>
        <v>Gestion des comptes</v>
      </c>
      <c r="D42" s="8" t="str" cm="1">
        <f t="array" aca="1" ref="D42" ca="1">INDIRECT("tbl_REF_CIS_Safeguards[@Title"&amp;DocumentLanguage&amp;"]")</f>
        <v>Désactiver les comptes dormants</v>
      </c>
      <c r="E42" s="8" t="str" cm="1">
        <f t="array" aca="1" ref="E42" ca="1">INDIRECT("tbl_REF_CIS_Safeguards[@Description"&amp;DocumentLanguage&amp;"]")</f>
        <v>Supprimer ou désactiver tout compte dormant après une période d'inactivité de 45 jours, lorsque cela est possible.</v>
      </c>
      <c r="F42" s="8" t="str" cm="1">
        <f t="array" aca="1" ref="F42" ca="1">INDIRECT("tbl_REF_CIS_Safeguards[@Comment"&amp;DocumentLanguage&amp;"]")</f>
        <v>* Dans EntraID, les comptes dormants ne sont pas désactivés.</v>
      </c>
      <c r="G42" t="s">
        <v>106</v>
      </c>
      <c r="H42" s="8"/>
      <c r="I42" s="92" cm="1">
        <f t="array" aca="1" ref="I42"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42" s="8">
        <f ca="1">IF(tbl_Safeguards[[#This Row],[En place
In place]]&lt;&gt;"N/A",_xlfn.XLOOKUP(tbl_Safeguards[[#This Row],[IG
IG]],tbl_safeguardWeightIG[IG],tbl_safeguardWeightIG[Weight]),"")</f>
        <v>1</v>
      </c>
      <c r="K42" s="8" cm="1">
        <f t="array" aca="1" ref="K4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43" spans="1:11" ht="90">
      <c r="A43" t="str">
        <f>tbl_REF_CIS_Safeguards[[#This Row],[SafeguardID]]</f>
        <v>05.04</v>
      </c>
      <c r="B43">
        <f>tbl_REF_CIS_Safeguards[[#This Row],[ControlID]]</f>
        <v>5</v>
      </c>
      <c r="C43" s="8" t="str" cm="1">
        <f t="array" aca="1" ref="C43" ca="1">_xlfn.XLOOKUP(tbl_Safeguards[[#This Row],[ControlID]],tbl_REF_CIS_Controls[ControlID],INDIRECT("tbl_REF_CIS_Controls[ControlName"&amp;DocumentLanguage&amp;"]"))</f>
        <v>Gestion des comptes</v>
      </c>
      <c r="D43" s="8" t="str" cm="1">
        <f t="array" aca="1" ref="D43" ca="1">INDIRECT("tbl_REF_CIS_Safeguards[@Title"&amp;DocumentLanguage&amp;"]")</f>
        <v>Limiter les privilèges de l'administrateur à des comptes administrateurs dédiés</v>
      </c>
      <c r="E43" s="8" t="str" cm="1">
        <f t="array" aca="1" ref="E43" ca="1">INDIRECT("tbl_REF_CIS_Safeguards[@Description"&amp;DocumentLanguage&amp;"]")</f>
        <v>Restreindre les privilèges d'administrateur aux comptes d'administrateur dédiés aux actifs de l'entreprise. Effectuer les activités informatiques générales, telles que la navigation sur Internet, le courrier électronique et l'utilisation de la suite de productivité, à partir du compte principal non privilégié de l'utilisateur.</v>
      </c>
      <c r="F43" s="8" t="s">
        <v>118</v>
      </c>
      <c r="G43" s="170" t="s">
        <v>111</v>
      </c>
      <c r="H43" s="8"/>
      <c r="I43" s="92" cm="1">
        <f t="array" aca="1" ref="I43"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43" s="8">
        <f ca="1">IF(tbl_Safeguards[[#This Row],[En place
In place]]&lt;&gt;"N/A",_xlfn.XLOOKUP(tbl_Safeguards[[#This Row],[IG
IG]],tbl_safeguardWeightIG[IG],tbl_safeguardWeightIG[Weight]),"")</f>
        <v>1</v>
      </c>
      <c r="K43" s="8" cm="1">
        <f t="array" aca="1" ref="K4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44" spans="1:11" ht="90">
      <c r="A44" t="str">
        <f>tbl_REF_CIS_Safeguards[[#This Row],[SafeguardID]]</f>
        <v>05.05</v>
      </c>
      <c r="B44">
        <f>tbl_REF_CIS_Safeguards[[#This Row],[ControlID]]</f>
        <v>5</v>
      </c>
      <c r="C44" s="8" t="str" cm="1">
        <f t="array" aca="1" ref="C44" ca="1">_xlfn.XLOOKUP(tbl_Safeguards[[#This Row],[ControlID]],tbl_REF_CIS_Controls[ControlID],INDIRECT("tbl_REF_CIS_Controls[ControlName"&amp;DocumentLanguage&amp;"]"))</f>
        <v>Gestion des comptes</v>
      </c>
      <c r="D44" s="8" t="str" cm="1">
        <f t="array" aca="1" ref="D44" ca="1">INDIRECT("tbl_REF_CIS_Safeguards[@Title"&amp;DocumentLanguage&amp;"]")</f>
        <v>Établir et tenir à jour un inventaire des comptes de service</v>
      </c>
      <c r="E44" s="8" t="str" cm="1">
        <f t="array" aca="1" ref="E44" ca="1">INDIRECT("tbl_REF_CIS_Safeguards[@Description"&amp;DocumentLanguage&amp;"]")</f>
        <v>Établir et tenir à jour un inventaire des comptes de service. L'inventaire doit au moins contenir le nom du propriétaire du service, la date de révision et l'objectif. Examiner les comptes de service afin de s'assurer que tous les comptes actifs sont autorisés, selon un calendrier récurrent, au moins trimestriel, ou plus fréquemment.</v>
      </c>
      <c r="F44" s="8" t="s">
        <v>118</v>
      </c>
      <c r="G44" s="170" t="s">
        <v>111</v>
      </c>
      <c r="H44" s="8" t="s">
        <v>119</v>
      </c>
      <c r="I44" s="92" cm="1">
        <f t="array" aca="1" ref="I44"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44" s="8">
        <f ca="1">IF(tbl_Safeguards[[#This Row],[En place
In place]]&lt;&gt;"N/A",_xlfn.XLOOKUP(tbl_Safeguards[[#This Row],[IG
IG]],tbl_safeguardWeightIG[IG],tbl_safeguardWeightIG[Weight]),"")</f>
        <v>0.75</v>
      </c>
      <c r="K44" s="8" cm="1">
        <f t="array" aca="1" ref="K4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45" spans="1:11" ht="30" hidden="1">
      <c r="A45" t="str">
        <f>tbl_REF_CIS_Safeguards[[#This Row],[SafeguardID]]</f>
        <v>05.06</v>
      </c>
      <c r="B45">
        <f>tbl_REF_CIS_Safeguards[[#This Row],[ControlID]]</f>
        <v>5</v>
      </c>
      <c r="C45" s="8" t="str" cm="1">
        <f t="array" aca="1" ref="C45" ca="1">_xlfn.XLOOKUP(tbl_Safeguards[[#This Row],[ControlID]],tbl_REF_CIS_Controls[ControlID],INDIRECT("tbl_REF_CIS_Controls[ControlName"&amp;DocumentLanguage&amp;"]"))</f>
        <v>Gestion des comptes</v>
      </c>
      <c r="D45" s="8" t="str" cm="1">
        <f t="array" aca="1" ref="D45" ca="1">INDIRECT("tbl_REF_CIS_Safeguards[@Title"&amp;DocumentLanguage&amp;"]")</f>
        <v>Centraliser la gestion des comptes</v>
      </c>
      <c r="E45" s="8" t="str" cm="1">
        <f t="array" aca="1" ref="E45" ca="1">INDIRECT("tbl_REF_CIS_Safeguards[@Description"&amp;DocumentLanguage&amp;"]")</f>
        <v>Centraliser la gestion des comptes par le biais d'un annuaire ou d'un service d'identité.</v>
      </c>
      <c r="F45" s="8" t="str" cm="1">
        <f t="array" aca="1" ref="F45" ca="1">INDIRECT("tbl_REF_CIS_Safeguards[@Comment"&amp;DocumentLanguage&amp;"]")</f>
        <v/>
      </c>
      <c r="G45" t="s">
        <v>17</v>
      </c>
      <c r="H45" s="8" t="s">
        <v>120</v>
      </c>
      <c r="I45" s="92" cm="1">
        <f t="array" aca="1" ref="I45"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45" s="8">
        <f ca="1">IF(tbl_Safeguards[[#This Row],[En place
In place]]&lt;&gt;"N/A",_xlfn.XLOOKUP(tbl_Safeguards[[#This Row],[IG
IG]],tbl_safeguardWeightIG[IG],tbl_safeguardWeightIG[Weight]),"")</f>
        <v>0.75</v>
      </c>
      <c r="K45" s="8" cm="1">
        <f t="array" aca="1" ref="K4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46" spans="1:11" ht="75">
      <c r="A46" t="str">
        <f>tbl_REF_CIS_Safeguards[[#This Row],[SafeguardID]]</f>
        <v>06.01</v>
      </c>
      <c r="B46">
        <f>tbl_REF_CIS_Safeguards[[#This Row],[ControlID]]</f>
        <v>6</v>
      </c>
      <c r="C46" s="8" t="str" cm="1">
        <f t="array" aca="1" ref="C46" ca="1">_xlfn.XLOOKUP(tbl_Safeguards[[#This Row],[ControlID]],tbl_REF_CIS_Controls[ControlID],INDIRECT("tbl_REF_CIS_Controls[ControlName"&amp;DocumentLanguage&amp;"]"))</f>
        <v>Gestion du contrôle d'accès</v>
      </c>
      <c r="D46" s="8" t="str" cm="1">
        <f t="array" aca="1" ref="D46" ca="1">INDIRECT("tbl_REF_CIS_Safeguards[@Title"&amp;DocumentLanguage&amp;"]")</f>
        <v>Mise en place d'une procédure d'octroi d'accès
(Access Granting Process)</v>
      </c>
      <c r="E46" s="8" t="str" cm="1">
        <f t="array" aca="1" ref="E46" ca="1">INDIRECT("tbl_REF_CIS_Safeguards[@Description"&amp;DocumentLanguage&amp;"]")</f>
        <v>Établir et suivre une procédure documentée, de préférence automatisée, pour accorder l'accès aux actifs de l'entreprise lors de l'embauche ou du changement de rôle d'un utilisateur.</v>
      </c>
      <c r="F46" s="8" t="s">
        <v>118</v>
      </c>
      <c r="G46" s="171" t="s">
        <v>17</v>
      </c>
      <c r="H46" s="8" t="s">
        <v>121</v>
      </c>
      <c r="I46" s="92" cm="1">
        <f t="array" aca="1" ref="I46"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46" s="8">
        <f ca="1">IF(tbl_Safeguards[[#This Row],[En place
In place]]&lt;&gt;"N/A",_xlfn.XLOOKUP(tbl_Safeguards[[#This Row],[IG
IG]],tbl_safeguardWeightIG[IG],tbl_safeguardWeightIG[Weight]),"")</f>
        <v>1</v>
      </c>
      <c r="K46" s="8" cm="1">
        <f t="array" aca="1" ref="K4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47" spans="1:11" ht="90">
      <c r="A47" t="str">
        <f>tbl_REF_CIS_Safeguards[[#This Row],[SafeguardID]]</f>
        <v>06.02</v>
      </c>
      <c r="B47">
        <f>tbl_REF_CIS_Safeguards[[#This Row],[ControlID]]</f>
        <v>6</v>
      </c>
      <c r="C47" s="8" t="str" cm="1">
        <f t="array" aca="1" ref="C47" ca="1">_xlfn.XLOOKUP(tbl_Safeguards[[#This Row],[ControlID]],tbl_REF_CIS_Controls[ControlID],INDIRECT("tbl_REF_CIS_Controls[ControlName"&amp;DocumentLanguage&amp;"]"))</f>
        <v>Gestion du contrôle d'accès</v>
      </c>
      <c r="D47" s="8" t="str" cm="1">
        <f t="array" aca="1" ref="D47" ca="1">INDIRECT("tbl_REF_CIS_Safeguards[@Title"&amp;DocumentLanguage&amp;"]")</f>
        <v>Mise en place d'une procédure de révocation de l'accès</v>
      </c>
      <c r="E47" s="8" t="str" cm="1">
        <f t="array" aca="1" ref="E47" ca="1">INDIRECT("tbl_REF_CIS_Safeguards[@Description"&amp;DocumentLanguage&amp;"]")</f>
        <v>Établir et suivre une procédure, de préférence automatisée, pour révoquer l'accès aux actifs de l'entreprise, en désactivant les comptes immédiatement en cas de résiliation, de révocation des droits ou de changement de rôle d'un utilisateur. La désactivation des comptes, plutôt que leur suppression, peut s'avérer nécessaire pour préserver les pistes d'audit.</v>
      </c>
      <c r="F47" s="8" t="s">
        <v>118</v>
      </c>
      <c r="G47" s="171" t="s">
        <v>17</v>
      </c>
      <c r="H47" s="8" t="s">
        <v>122</v>
      </c>
      <c r="I47" s="92" cm="1">
        <f t="array" aca="1" ref="I47"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47" s="8">
        <f ca="1">IF(tbl_Safeguards[[#This Row],[En place
In place]]&lt;&gt;"N/A",_xlfn.XLOOKUP(tbl_Safeguards[[#This Row],[IG
IG]],tbl_safeguardWeightIG[IG],tbl_safeguardWeightIG[Weight]),"")</f>
        <v>1</v>
      </c>
      <c r="K47" s="8" cm="1">
        <f t="array" aca="1" ref="K4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48" spans="1:11" ht="75" hidden="1">
      <c r="A48" t="str">
        <f>tbl_REF_CIS_Safeguards[[#This Row],[SafeguardID]]</f>
        <v>06.03</v>
      </c>
      <c r="B48">
        <f>tbl_REF_CIS_Safeguards[[#This Row],[ControlID]]</f>
        <v>6</v>
      </c>
      <c r="C48" s="8" t="str" cm="1">
        <f t="array" aca="1" ref="C48" ca="1">_xlfn.XLOOKUP(tbl_Safeguards[[#This Row],[ControlID]],tbl_REF_CIS_Controls[ControlID],INDIRECT("tbl_REF_CIS_Controls[ControlName"&amp;DocumentLanguage&amp;"]"))</f>
        <v>Gestion du contrôle d'accès</v>
      </c>
      <c r="D48" s="8" t="str" cm="1">
        <f t="array" aca="1" ref="D48" ca="1">INDIRECT("tbl_REF_CIS_Safeguards[@Title"&amp;DocumentLanguage&amp;"]")</f>
        <v>Exiger l'Authentification Multi-Facteurs (MFA) pour les applications exposées à l'extérieur</v>
      </c>
      <c r="E48" s="8" t="str" cm="1">
        <f t="array" aca="1" ref="E48" ca="1">INDIRECT("tbl_REF_CIS_Safeguards[@Description"&amp;DocumentLanguage&amp;"]")</f>
        <v>Exiger que toutes les applications de l'entreprise ou de tiers exposées à l'extérieur appliquent la MFA, lorsqu'elle est prise en charge. L'application de la MFA par l'intermédiaire d'un service d'annuaire ou d'un fournisseur de SSO constitue une mise en œuvre satisfaisante de cette mesure de sauvegarde.</v>
      </c>
      <c r="F48" s="8"/>
      <c r="G48" s="171" t="s">
        <v>17</v>
      </c>
      <c r="H48" s="8" t="s">
        <v>123</v>
      </c>
      <c r="I48" s="92" cm="1">
        <f t="array" aca="1" ref="I48"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48" s="8">
        <f ca="1">IF(tbl_Safeguards[[#This Row],[En place
In place]]&lt;&gt;"N/A",_xlfn.XLOOKUP(tbl_Safeguards[[#This Row],[IG
IG]],tbl_safeguardWeightIG[IG],tbl_safeguardWeightIG[Weight]),"")</f>
        <v>1</v>
      </c>
      <c r="K48" s="8" cm="1">
        <f t="array" aca="1" ref="K4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49" spans="1:11" ht="90">
      <c r="A49" t="str">
        <f>tbl_REF_CIS_Safeguards[[#This Row],[SafeguardID]]</f>
        <v>06.04</v>
      </c>
      <c r="B49">
        <f>tbl_REF_CIS_Safeguards[[#This Row],[ControlID]]</f>
        <v>6</v>
      </c>
      <c r="C49" s="8" t="str" cm="1">
        <f t="array" aca="1" ref="C49" ca="1">_xlfn.XLOOKUP(tbl_Safeguards[[#This Row],[ControlID]],tbl_REF_CIS_Controls[ControlID],INDIRECT("tbl_REF_CIS_Controls[ControlName"&amp;DocumentLanguage&amp;"]"))</f>
        <v>Gestion du contrôle d'accès</v>
      </c>
      <c r="D49" s="8" t="str" cm="1">
        <f t="array" aca="1" ref="D49" ca="1">INDIRECT("tbl_REF_CIS_Safeguards[@Title"&amp;DocumentLanguage&amp;"]")</f>
        <v>Exiger la MFA pour l'accès au réseau à distance</v>
      </c>
      <c r="E49" s="8" t="str" cm="1">
        <f t="array" aca="1" ref="E49" ca="1">INDIRECT("tbl_REF_CIS_Safeguards[@Description"&amp;DocumentLanguage&amp;"]")</f>
        <v>Exiger la MFA pour l'accès au réseau à distance</v>
      </c>
      <c r="F49" s="8" t="s">
        <v>118</v>
      </c>
      <c r="G49" s="170" t="s">
        <v>17</v>
      </c>
      <c r="H49" s="8" t="s">
        <v>124</v>
      </c>
      <c r="I49" s="92" cm="1">
        <f t="array" aca="1" ref="I49"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49" s="8">
        <f ca="1">IF(tbl_Safeguards[[#This Row],[En place
In place]]&lt;&gt;"N/A",_xlfn.XLOOKUP(tbl_Safeguards[[#This Row],[IG
IG]],tbl_safeguardWeightIG[IG],tbl_safeguardWeightIG[Weight]),"")</f>
        <v>1</v>
      </c>
      <c r="K49" s="8" cm="1">
        <f t="array" aca="1" ref="K4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50" spans="1:11" ht="105">
      <c r="A50" t="str">
        <f>tbl_REF_CIS_Safeguards[[#This Row],[SafeguardID]]</f>
        <v>06.05</v>
      </c>
      <c r="B50">
        <f>tbl_REF_CIS_Safeguards[[#This Row],[ControlID]]</f>
        <v>6</v>
      </c>
      <c r="C50" s="8" t="str" cm="1">
        <f t="array" aca="1" ref="C50" ca="1">_xlfn.XLOOKUP(tbl_Safeguards[[#This Row],[ControlID]],tbl_REF_CIS_Controls[ControlID],INDIRECT("tbl_REF_CIS_Controls[ControlName"&amp;DocumentLanguage&amp;"]"))</f>
        <v>Gestion du contrôle d'accès</v>
      </c>
      <c r="D50" s="8" t="str" cm="1">
        <f t="array" aca="1" ref="D50" ca="1">INDIRECT("tbl_REF_CIS_Safeguards[@Title"&amp;DocumentLanguage&amp;"]")</f>
        <v>Exiger la MFA pour l'accès administratif</v>
      </c>
      <c r="E50" s="8" t="str" cm="1">
        <f t="array" aca="1" ref="E50" ca="1">INDIRECT("tbl_REF_CIS_Safeguards[@Description"&amp;DocumentLanguage&amp;"]")</f>
        <v>Exiger la MFA pour tous les comptes d'accès administratifs, lorsqu'ils sont pris en charge, sur tous les biens de l'entreprise, qu'ils soient gérés sur place ou par l'intermédiaire d'un prestataire de services.</v>
      </c>
      <c r="F50" s="8" t="s">
        <v>118</v>
      </c>
      <c r="G50" s="170" t="s">
        <v>17</v>
      </c>
      <c r="H50" s="8" t="s">
        <v>125</v>
      </c>
      <c r="I50" s="92" cm="1">
        <f t="array" aca="1" ref="I50"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50" s="8">
        <f ca="1">IF(tbl_Safeguards[[#This Row],[En place
In place]]&lt;&gt;"N/A",_xlfn.XLOOKUP(tbl_Safeguards[[#This Row],[IG
IG]],tbl_safeguardWeightIG[IG],tbl_safeguardWeightIG[Weight]),"")</f>
        <v>1</v>
      </c>
      <c r="K50" s="8" cm="1">
        <f t="array" aca="1" ref="K5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51" spans="1:11" ht="75">
      <c r="A51" t="str">
        <f>tbl_REF_CIS_Safeguards[[#This Row],[SafeguardID]]</f>
        <v>06.06</v>
      </c>
      <c r="B51">
        <f>tbl_REF_CIS_Safeguards[[#This Row],[ControlID]]</f>
        <v>6</v>
      </c>
      <c r="C51" s="8" t="str" cm="1">
        <f t="array" aca="1" ref="C51" ca="1">_xlfn.XLOOKUP(tbl_Safeguards[[#This Row],[ControlID]],tbl_REF_CIS_Controls[ControlID],INDIRECT("tbl_REF_CIS_Controls[ControlName"&amp;DocumentLanguage&amp;"]"))</f>
        <v>Gestion du contrôle d'accès</v>
      </c>
      <c r="D51" s="8" t="str" cm="1">
        <f t="array" aca="1" ref="D51" ca="1">INDIRECT("tbl_REF_CIS_Safeguards[@Title"&amp;DocumentLanguage&amp;"]")</f>
        <v>Établir et tenir à jour un inventaire des systèmes d'authentification et d'autorisation</v>
      </c>
      <c r="E51" s="8" t="str" cm="1">
        <f t="array" aca="1" ref="E51" ca="1">INDIRECT("tbl_REF_CIS_Safeguards[@Description"&amp;DocumentLanguage&amp;"]")</f>
        <v>Établir et tenir à jour un inventaire des systèmes d'authentification et d'autorisation de l'entreprise, y compris ceux qui sont hébergés sur place ou chez un prestataire de services distant. Examiner et mettre à jour l'inventaire au moins une fois par an, ou plus fréquemment.</v>
      </c>
      <c r="F51" s="8" t="s">
        <v>118</v>
      </c>
      <c r="G51" s="170" t="s">
        <v>111</v>
      </c>
      <c r="H51" s="8" t="s">
        <v>126</v>
      </c>
      <c r="I51" s="92" cm="1">
        <f t="array" aca="1" ref="I51"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51" s="8">
        <f ca="1">IF(tbl_Safeguards[[#This Row],[En place
In place]]&lt;&gt;"N/A",_xlfn.XLOOKUP(tbl_Safeguards[[#This Row],[IG
IG]],tbl_safeguardWeightIG[IG],tbl_safeguardWeightIG[Weight]),"")</f>
        <v>0.75</v>
      </c>
      <c r="K51" s="8" cm="1">
        <f t="array" aca="1" ref="K5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52" spans="1:11" ht="45" hidden="1">
      <c r="A52" t="str">
        <f>tbl_REF_CIS_Safeguards[[#This Row],[SafeguardID]]</f>
        <v>06.07</v>
      </c>
      <c r="B52">
        <f>tbl_REF_CIS_Safeguards[[#This Row],[ControlID]]</f>
        <v>6</v>
      </c>
      <c r="C52" s="8" t="str" cm="1">
        <f t="array" aca="1" ref="C52" ca="1">_xlfn.XLOOKUP(tbl_Safeguards[[#This Row],[ControlID]],tbl_REF_CIS_Controls[ControlID],INDIRECT("tbl_REF_CIS_Controls[ControlName"&amp;DocumentLanguage&amp;"]"))</f>
        <v>Gestion du contrôle d'accès</v>
      </c>
      <c r="D52" s="8" t="str" cm="1">
        <f t="array" aca="1" ref="D52" ca="1">INDIRECT("tbl_REF_CIS_Safeguards[@Title"&amp;DocumentLanguage&amp;"]")</f>
        <v>Centraliser le contrôle d'accès</v>
      </c>
      <c r="E52" s="8" t="str" cm="1">
        <f t="array" aca="1" ref="E52" ca="1">INDIRECT("tbl_REF_CIS_Safeguards[@Description"&amp;DocumentLanguage&amp;"]")</f>
        <v>Centraliser le contrôle d'accès pour tous les actifs de l'entreprise par le biais d'un service d'annuaire ou d'un fournisseur SSO, le cas échéant.</v>
      </c>
      <c r="F52" s="8"/>
      <c r="G52" s="170" t="s">
        <v>107</v>
      </c>
      <c r="H52" s="8"/>
      <c r="I52" s="92" cm="1">
        <f t="array" aca="1" ref="I52"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52" s="8" t="str">
        <f ca="1">IF(tbl_Safeguards[[#This Row],[En place
In place]]&lt;&gt;"N/A",_xlfn.XLOOKUP(tbl_Safeguards[[#This Row],[IG
IG]],tbl_safeguardWeightIG[IG],tbl_safeguardWeightIG[Weight]),"")</f>
        <v/>
      </c>
      <c r="K52" s="8" t="str" cm="1">
        <f t="array" aca="1" ref="K5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53" spans="1:11" ht="105" hidden="1">
      <c r="A53" t="str">
        <f>tbl_REF_CIS_Safeguards[[#This Row],[SafeguardID]]</f>
        <v>06.08</v>
      </c>
      <c r="B53">
        <f>tbl_REF_CIS_Safeguards[[#This Row],[ControlID]]</f>
        <v>6</v>
      </c>
      <c r="C53" s="8" t="str" cm="1">
        <f t="array" aca="1" ref="C53" ca="1">_xlfn.XLOOKUP(tbl_Safeguards[[#This Row],[ControlID]],tbl_REF_CIS_Controls[ControlID],INDIRECT("tbl_REF_CIS_Controls[ControlName"&amp;DocumentLanguage&amp;"]"))</f>
        <v>Gestion du contrôle d'accès</v>
      </c>
      <c r="D53" s="8" t="str" cm="1">
        <f t="array" aca="1" ref="D53" ca="1">INDIRECT("tbl_REF_CIS_Safeguards[@Title"&amp;DocumentLanguage&amp;"]")</f>
        <v>Définir et gérer le contrôle d'accès basé sur les rôles
(RBAC - Role-Based Access Control)</v>
      </c>
      <c r="E53" s="8" t="str" cm="1">
        <f t="array" aca="1" ref="E53" ca="1">INDIRECT("tbl_REF_CIS_Safeguards[@Description"&amp;DocumentLanguage&amp;"]")</f>
        <v>Définir et maintenir un contrôle d'accès basé sur les rôles (RBAC), en déterminant et en documentant les droits d'accès nécessaires pour que chaque rôle au sein de l'entreprise puisse mener à bien les tâches qui lui sont assignées. Procéder à des examens du contrôle d'accès aux actifs de l'entreprise afin de valider que tous les privilèges sont autorisés, selon un calendrier récurrent, au moins une fois par an, ou plus fréquemment.</v>
      </c>
      <c r="F53" s="8"/>
      <c r="G53" s="171" t="s">
        <v>17</v>
      </c>
      <c r="H53" s="8"/>
      <c r="I53" s="92" cm="1">
        <f t="array" aca="1" ref="I53"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53" s="8">
        <f ca="1">IF(tbl_Safeguards[[#This Row],[En place
In place]]&lt;&gt;"N/A",_xlfn.XLOOKUP(tbl_Safeguards[[#This Row],[IG
IG]],tbl_safeguardWeightIG[IG],tbl_safeguardWeightIG[Weight]),"")</f>
        <v>0.5</v>
      </c>
      <c r="K53" s="8" cm="1">
        <f t="array" aca="1" ref="K5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0.5</v>
      </c>
    </row>
    <row r="54" spans="1:11" ht="75">
      <c r="A54" t="str">
        <f>tbl_REF_CIS_Safeguards[[#This Row],[SafeguardID]]</f>
        <v>07.01</v>
      </c>
      <c r="B54">
        <f>tbl_REF_CIS_Safeguards[[#This Row],[ControlID]]</f>
        <v>7</v>
      </c>
      <c r="C54" s="8" t="str" cm="1">
        <f t="array" aca="1" ref="C54" ca="1">_xlfn.XLOOKUP(tbl_Safeguards[[#This Row],[ControlID]],tbl_REF_CIS_Controls[ControlID],INDIRECT("tbl_REF_CIS_Controls[ControlName"&amp;DocumentLanguage&amp;"]"))</f>
        <v>Gestion continue de la vulnérabilité</v>
      </c>
      <c r="D54" s="8" t="str" cm="1">
        <f t="array" aca="1" ref="D54" ca="1">INDIRECT("tbl_REF_CIS_Safeguards[@Title"&amp;DocumentLanguage&amp;"]")</f>
        <v>Établir et maintenir un processus de gestion des vulnérabilités</v>
      </c>
      <c r="E54" s="8" t="str" cm="1">
        <f t="array" aca="1" ref="E54" ca="1">INDIRECT("tbl_REF_CIS_Safeguards[@Description"&amp;DocumentLanguage&amp;"]")</f>
        <v>Établir et maintenir un processus documenté de gestion des vulnérabilités pour les actifs de l'entreprise. Réviser et mettre à jour la documentation chaque année, ou lorsque des changements importants interviennent dans l'entreprise et pourraient avoir une incidence sur cette mesure de sauvegarde.</v>
      </c>
      <c r="F54" s="8" t="s">
        <v>118</v>
      </c>
      <c r="G54" t="s">
        <v>111</v>
      </c>
      <c r="H54" s="8" t="s">
        <v>127</v>
      </c>
      <c r="I54" s="92" cm="1">
        <f t="array" aca="1" ref="I54"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54" s="8">
        <f ca="1">IF(tbl_Safeguards[[#This Row],[En place
In place]]&lt;&gt;"N/A",_xlfn.XLOOKUP(tbl_Safeguards[[#This Row],[IG
IG]],tbl_safeguardWeightIG[IG],tbl_safeguardWeightIG[Weight]),"")</f>
        <v>1</v>
      </c>
      <c r="K54" s="8" cm="1">
        <f t="array" aca="1" ref="K5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55" spans="1:11" ht="75" hidden="1">
      <c r="A55" t="str">
        <f>tbl_REF_CIS_Safeguards[[#This Row],[SafeguardID]]</f>
        <v>07.02</v>
      </c>
      <c r="B55">
        <f>tbl_REF_CIS_Safeguards[[#This Row],[ControlID]]</f>
        <v>7</v>
      </c>
      <c r="C55" s="8" t="str" cm="1">
        <f t="array" aca="1" ref="C55" ca="1">_xlfn.XLOOKUP(tbl_Safeguards[[#This Row],[ControlID]],tbl_REF_CIS_Controls[ControlID],INDIRECT("tbl_REF_CIS_Controls[ControlName"&amp;DocumentLanguage&amp;"]"))</f>
        <v>Gestion continue de la vulnérabilité</v>
      </c>
      <c r="D55" s="8" t="str" cm="1">
        <f t="array" aca="1" ref="D55" ca="1">INDIRECT("tbl_REF_CIS_Safeguards[@Title"&amp;DocumentLanguage&amp;"]")</f>
        <v>Établir et maintenir un processus de remédiation</v>
      </c>
      <c r="E55" s="8" t="str" cm="1">
        <f t="array" aca="1" ref="E55" ca="1">INDIRECT("tbl_REF_CIS_Safeguards[@Description"&amp;DocumentLanguage&amp;"]")</f>
        <v>Établir et maintenir une stratégie de remédiation basée sur les risques, documentée dans un processus de remédiation, avec des révisions mensuelles ou plus fréquentes.</v>
      </c>
      <c r="F55" s="8"/>
      <c r="G55" t="s">
        <v>17</v>
      </c>
      <c r="H55" s="8" t="s">
        <v>128</v>
      </c>
      <c r="I55" s="92" cm="1">
        <f t="array" aca="1" ref="I55"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55" s="8">
        <f ca="1">IF(tbl_Safeguards[[#This Row],[En place
In place]]&lt;&gt;"N/A",_xlfn.XLOOKUP(tbl_Safeguards[[#This Row],[IG
IG]],tbl_safeguardWeightIG[IG],tbl_safeguardWeightIG[Weight]),"")</f>
        <v>1</v>
      </c>
      <c r="K55" s="8" cm="1">
        <f t="array" aca="1" ref="K5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56" spans="1:11" ht="120" hidden="1">
      <c r="A56" t="str">
        <f>tbl_REF_CIS_Safeguards[[#This Row],[SafeguardID]]</f>
        <v>07.03</v>
      </c>
      <c r="B56">
        <f>tbl_REF_CIS_Safeguards[[#This Row],[ControlID]]</f>
        <v>7</v>
      </c>
      <c r="C56" s="8" t="str" cm="1">
        <f t="array" aca="1" ref="C56" ca="1">_xlfn.XLOOKUP(tbl_Safeguards[[#This Row],[ControlID]],tbl_REF_CIS_Controls[ControlID],INDIRECT("tbl_REF_CIS_Controls[ControlName"&amp;DocumentLanguage&amp;"]"))</f>
        <v>Gestion continue de la vulnérabilité</v>
      </c>
      <c r="D56" s="8" t="str" cm="1">
        <f t="array" aca="1" ref="D56" ca="1">INDIRECT("tbl_REF_CIS_Safeguards[@Title"&amp;DocumentLanguage&amp;"]")</f>
        <v>Gestion automatisée des correctifs des systèmes d'exploitation</v>
      </c>
      <c r="E56" s="8" t="str" cm="1">
        <f t="array" aca="1" ref="E56" ca="1">INDIRECT("tbl_REF_CIS_Safeguards[@Description"&amp;DocumentLanguage&amp;"]")</f>
        <v>Effectuer des mises à jour des systèmes d'exploitation sur les actifs de l'entreprise par le biais d'une gestion automatisée des correctifs sur une base mensuelle ou plus fréquente.</v>
      </c>
      <c r="F56" s="8"/>
      <c r="G56" t="s">
        <v>17</v>
      </c>
      <c r="H56" s="8" t="s">
        <v>129</v>
      </c>
      <c r="I56" s="92" cm="1">
        <f t="array" aca="1" ref="I56"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56" s="8">
        <f ca="1">IF(tbl_Safeguards[[#This Row],[En place
In place]]&lt;&gt;"N/A",_xlfn.XLOOKUP(tbl_Safeguards[[#This Row],[IG
IG]],tbl_safeguardWeightIG[IG],tbl_safeguardWeightIG[Weight]),"")</f>
        <v>1</v>
      </c>
      <c r="K56" s="8" cm="1">
        <f t="array" aca="1" ref="K5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57" spans="1:11" ht="60" hidden="1">
      <c r="A57" t="str">
        <f>tbl_REF_CIS_Safeguards[[#This Row],[SafeguardID]]</f>
        <v>07.04</v>
      </c>
      <c r="B57">
        <f>tbl_REF_CIS_Safeguards[[#This Row],[ControlID]]</f>
        <v>7</v>
      </c>
      <c r="C57" s="8" t="str" cm="1">
        <f t="array" aca="1" ref="C57" ca="1">_xlfn.XLOOKUP(tbl_Safeguards[[#This Row],[ControlID]],tbl_REF_CIS_Controls[ControlID],INDIRECT("tbl_REF_CIS_Controls[ControlName"&amp;DocumentLanguage&amp;"]"))</f>
        <v>Gestion continue de la vulnérabilité</v>
      </c>
      <c r="D57" s="8" t="str" cm="1">
        <f t="array" aca="1" ref="D57" ca="1">INDIRECT("tbl_REF_CIS_Safeguards[@Title"&amp;DocumentLanguage&amp;"]")</f>
        <v>Gestion automatisée des correctifs pour les applications</v>
      </c>
      <c r="E57" s="8" t="str" cm="1">
        <f t="array" aca="1" ref="E57" ca="1">INDIRECT("tbl_REF_CIS_Safeguards[@Description"&amp;DocumentLanguage&amp;"]")</f>
        <v>Effectuer des mises à jour d'applications sur les actifs de l'entreprise par le biais d'une gestion automatisée des correctifs sur une base mensuelle ou plus fréquente.</v>
      </c>
      <c r="F57" s="8" t="str" cm="1">
        <f t="array" aca="1" ref="F57" ca="1">INDIRECT("tbl_REF_CIS_Safeguards[@Comment"&amp;DocumentLanguage&amp;"]")</f>
        <v/>
      </c>
      <c r="G57" t="s">
        <v>106</v>
      </c>
      <c r="H57" s="8" t="s">
        <v>130</v>
      </c>
      <c r="I57" s="92" cm="1">
        <f t="array" aca="1" ref="I57"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57" s="8">
        <f ca="1">IF(tbl_Safeguards[[#This Row],[En place
In place]]&lt;&gt;"N/A",_xlfn.XLOOKUP(tbl_Safeguards[[#This Row],[IG
IG]],tbl_safeguardWeightIG[IG],tbl_safeguardWeightIG[Weight]),"")</f>
        <v>1</v>
      </c>
      <c r="K57" s="8" cm="1">
        <f t="array" aca="1" ref="K5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58" spans="1:11" ht="90" hidden="1">
      <c r="A58" t="str">
        <f>tbl_REF_CIS_Safeguards[[#This Row],[SafeguardID]]</f>
        <v>07.05</v>
      </c>
      <c r="B58">
        <f>tbl_REF_CIS_Safeguards[[#This Row],[ControlID]]</f>
        <v>7</v>
      </c>
      <c r="C58" s="8" t="str" cm="1">
        <f t="array" aca="1" ref="C58" ca="1">_xlfn.XLOOKUP(tbl_Safeguards[[#This Row],[ControlID]],tbl_REF_CIS_Controls[ControlID],INDIRECT("tbl_REF_CIS_Controls[ControlName"&amp;DocumentLanguage&amp;"]"))</f>
        <v>Gestion continue de la vulnérabilité</v>
      </c>
      <c r="D58" s="8" t="str" cm="1">
        <f t="array" aca="1" ref="D58" ca="1">INDIRECT("tbl_REF_CIS_Safeguards[@Title"&amp;DocumentLanguage&amp;"]")</f>
        <v>Effectuer des analyses automatisées de la vulnérabilité des actifs internes de l'entreprise</v>
      </c>
      <c r="E58" s="8" t="str" cm="1">
        <f t="array" aca="1" ref="E58" ca="1">INDIRECT("tbl_REF_CIS_Safeguards[@Description"&amp;DocumentLanguage&amp;"]")</f>
        <v>Effectuer des analyses automatisées des vulnérabilités des actifs internes de l'entreprise sur une base trimestrielle ou plus fréquente. Effectuer des analyses authentifiées et non authentifiées.</v>
      </c>
      <c r="F58" s="8" t="str" cm="1">
        <f t="array" aca="1" ref="F58" ca="1">INDIRECT("tbl_REF_CIS_Safeguards[@Comment"&amp;DocumentLanguage&amp;"]")</f>
        <v/>
      </c>
      <c r="G58" t="s">
        <v>106</v>
      </c>
      <c r="H58" s="8" t="s">
        <v>131</v>
      </c>
      <c r="I58" s="92" cm="1">
        <f t="array" aca="1" ref="I58"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58" s="8">
        <f ca="1">IF(tbl_Safeguards[[#This Row],[En place
In place]]&lt;&gt;"N/A",_xlfn.XLOOKUP(tbl_Safeguards[[#This Row],[IG
IG]],tbl_safeguardWeightIG[IG],tbl_safeguardWeightIG[Weight]),"")</f>
        <v>0.75</v>
      </c>
      <c r="K58" s="8" cm="1">
        <f t="array" aca="1" ref="K5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59" spans="1:11" ht="135" hidden="1">
      <c r="A59" t="str">
        <f>tbl_REF_CIS_Safeguards[[#This Row],[SafeguardID]]</f>
        <v>07.06</v>
      </c>
      <c r="B59">
        <f>tbl_REF_CIS_Safeguards[[#This Row],[ControlID]]</f>
        <v>7</v>
      </c>
      <c r="C59" s="8" t="str" cm="1">
        <f t="array" aca="1" ref="C59" ca="1">_xlfn.XLOOKUP(tbl_Safeguards[[#This Row],[ControlID]],tbl_REF_CIS_Controls[ControlID],INDIRECT("tbl_REF_CIS_Controls[ControlName"&amp;DocumentLanguage&amp;"]"))</f>
        <v>Gestion continue de la vulnérabilité</v>
      </c>
      <c r="D59" s="8" t="str" cm="1">
        <f t="array" aca="1" ref="D59" ca="1">INDIRECT("tbl_REF_CIS_Safeguards[@Title"&amp;DocumentLanguage&amp;"]")</f>
        <v>Perform Automated Vulnerability Scans of Externally-Exposed Enterprise Assets</v>
      </c>
      <c r="E59" s="8" t="str" cm="1">
        <f t="array" aca="1" ref="E59" ca="1">INDIRECT("tbl_REF_CIS_Safeguards[@Description"&amp;DocumentLanguage&amp;"]")</f>
        <v>Effectuer des analyses automatisées des vulnérabilités des actifs de l'entreprise exposés à l'extérieur. Effectuer des analyses sur une base mensuelle ou plus fréquente.</v>
      </c>
      <c r="F59" s="8" t="str" cm="1">
        <f t="array" aca="1" ref="F59" ca="1">INDIRECT("tbl_REF_CIS_Safeguards[@Comment"&amp;DocumentLanguage&amp;"]")</f>
        <v/>
      </c>
      <c r="G59" t="s">
        <v>106</v>
      </c>
      <c r="H59" s="8" t="s">
        <v>132</v>
      </c>
      <c r="I59" s="92" cm="1">
        <f t="array" aca="1" ref="I59"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59" s="8">
        <f ca="1">IF(tbl_Safeguards[[#This Row],[En place
In place]]&lt;&gt;"N/A",_xlfn.XLOOKUP(tbl_Safeguards[[#This Row],[IG
IG]],tbl_safeguardWeightIG[IG],tbl_safeguardWeightIG[Weight]),"")</f>
        <v>0.75</v>
      </c>
      <c r="K59" s="8" cm="1">
        <f t="array" aca="1" ref="K5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60" spans="1:11" ht="45" hidden="1">
      <c r="A60" t="str">
        <f>tbl_REF_CIS_Safeguards[[#This Row],[SafeguardID]]</f>
        <v>07.07</v>
      </c>
      <c r="B60">
        <f>tbl_REF_CIS_Safeguards[[#This Row],[ControlID]]</f>
        <v>7</v>
      </c>
      <c r="C60" s="8" t="str" cm="1">
        <f t="array" aca="1" ref="C60" ca="1">_xlfn.XLOOKUP(tbl_Safeguards[[#This Row],[ControlID]],tbl_REF_CIS_Controls[ControlID],INDIRECT("tbl_REF_CIS_Controls[ControlName"&amp;DocumentLanguage&amp;"]"))</f>
        <v>Gestion continue de la vulnérabilité</v>
      </c>
      <c r="D60" s="8" t="str" cm="1">
        <f t="array" aca="1" ref="D60" ca="1">INDIRECT("tbl_REF_CIS_Safeguards[@Title"&amp;DocumentLanguage&amp;"]")</f>
        <v>Remédier aux vulnérabilités détectées</v>
      </c>
      <c r="E60" s="8" t="str" cm="1">
        <f t="array" aca="1" ref="E60" ca="1">INDIRECT("tbl_REF_CIS_Safeguards[@Description"&amp;DocumentLanguage&amp;"]")</f>
        <v>Remédier aux vulnérabilités détectées dans les logiciels au moyen de processus et d'outils sur une base mensuelle ou plus fréquente, en fonction du processus de remédiation.</v>
      </c>
      <c r="F60" s="8" t="str" cm="1">
        <f t="array" aca="1" ref="F60" ca="1">INDIRECT("tbl_REF_CIS_Safeguards[@Comment"&amp;DocumentLanguage&amp;"]")</f>
        <v/>
      </c>
      <c r="G60" t="s">
        <v>106</v>
      </c>
      <c r="H60" s="8"/>
      <c r="I60" s="92" cm="1">
        <f t="array" aca="1" ref="I60"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60" s="8">
        <f ca="1">IF(tbl_Safeguards[[#This Row],[En place
In place]]&lt;&gt;"N/A",_xlfn.XLOOKUP(tbl_Safeguards[[#This Row],[IG
IG]],tbl_safeguardWeightIG[IG],tbl_safeguardWeightIG[Weight]),"")</f>
        <v>0.75</v>
      </c>
      <c r="K60" s="8" cm="1">
        <f t="array" aca="1" ref="K6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61" spans="1:11" ht="120" hidden="1">
      <c r="A61" t="str">
        <f>tbl_REF_CIS_Safeguards[[#This Row],[SafeguardID]]</f>
        <v>08.01</v>
      </c>
      <c r="B61">
        <f>tbl_REF_CIS_Safeguards[[#This Row],[ControlID]]</f>
        <v>8</v>
      </c>
      <c r="C61" s="8" t="str" cm="1">
        <f t="array" aca="1" ref="C61" ca="1">_xlfn.XLOOKUP(tbl_Safeguards[[#This Row],[ControlID]],tbl_REF_CIS_Controls[ControlID],INDIRECT("tbl_REF_CIS_Controls[ControlName"&amp;DocumentLanguage&amp;"]"))</f>
        <v>Gestion du journal d'audit</v>
      </c>
      <c r="D61" s="8" t="str" cm="1">
        <f t="array" aca="1" ref="D61" ca="1">INDIRECT("tbl_REF_CIS_Safeguards[@Title"&amp;DocumentLanguage&amp;"]")</f>
        <v>Établir et maintenir un processus de gestion des journaux d'audit</v>
      </c>
      <c r="E61" s="8" t="str" cm="1">
        <f t="array" aca="1" ref="E61" ca="1">INDIRECT("tbl_REF_CIS_Safeguards[@Description"&amp;DocumentLanguage&amp;"]")</f>
        <v>Établir et maintenir un processus documenté de gestion des journaux d'audit qui définit les exigences de l'entreprise en matière de journalisation. Il s'agit au minimum de la collecte, de l'examen et de la conservation des journaux d'audit pour les actifs de l'entreprise. Examiner et mettre à jour la documentation chaque année ou lorsque des changements importants interviennent au sein de l'entreprise et sont susceptibles d'avoir une incidence sur cette mesure de sauvegarde.</v>
      </c>
      <c r="F61" s="8"/>
      <c r="G61" t="s">
        <v>106</v>
      </c>
      <c r="H61" s="8" t="s">
        <v>133</v>
      </c>
      <c r="I61" s="92" cm="1">
        <f t="array" aca="1" ref="I61"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61" s="8">
        <f ca="1">IF(tbl_Safeguards[[#This Row],[En place
In place]]&lt;&gt;"N/A",_xlfn.XLOOKUP(tbl_Safeguards[[#This Row],[IG
IG]],tbl_safeguardWeightIG[IG],tbl_safeguardWeightIG[Weight]),"")</f>
        <v>1</v>
      </c>
      <c r="K61" s="8" cm="1">
        <f t="array" aca="1" ref="K6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62" spans="1:11" ht="45" hidden="1">
      <c r="A62" t="str">
        <f>tbl_REF_CIS_Safeguards[[#This Row],[SafeguardID]]</f>
        <v>08.02</v>
      </c>
      <c r="B62">
        <f>tbl_REF_CIS_Safeguards[[#This Row],[ControlID]]</f>
        <v>8</v>
      </c>
      <c r="C62" s="8" t="str" cm="1">
        <f t="array" aca="1" ref="C62" ca="1">_xlfn.XLOOKUP(tbl_Safeguards[[#This Row],[ControlID]],tbl_REF_CIS_Controls[ControlID],INDIRECT("tbl_REF_CIS_Controls[ControlName"&amp;DocumentLanguage&amp;"]"))</f>
        <v>Gestion du journal d'audit</v>
      </c>
      <c r="D62" s="8" t="str" cm="1">
        <f t="array" aca="1" ref="D62" ca="1">INDIRECT("tbl_REF_CIS_Safeguards[@Title"&amp;DocumentLanguage&amp;"]")</f>
        <v>Collecter les journaux d'audit</v>
      </c>
      <c r="E62" s="8" t="str" cm="1">
        <f t="array" aca="1" ref="E62" ca="1">INDIRECT("tbl_REF_CIS_Safeguards[@Description"&amp;DocumentLanguage&amp;"]")</f>
        <v>Collecter les journaux d'audit. S'assurer que la journalisation, conformément au processus de gestion des journaux d'audit de l'entreprise, a été activée pour tous les actifs de l'entreprise.</v>
      </c>
      <c r="F62" s="8"/>
      <c r="G62" t="s">
        <v>106</v>
      </c>
      <c r="H62" s="8"/>
      <c r="I62" s="92" cm="1">
        <f t="array" aca="1" ref="I62"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62" s="8">
        <f ca="1">IF(tbl_Safeguards[[#This Row],[En place
In place]]&lt;&gt;"N/A",_xlfn.XLOOKUP(tbl_Safeguards[[#This Row],[IG
IG]],tbl_safeguardWeightIG[IG],tbl_safeguardWeightIG[Weight]),"")</f>
        <v>1</v>
      </c>
      <c r="K62" s="8" cm="1">
        <f t="array" aca="1" ref="K6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63" spans="1:11" ht="45" hidden="1">
      <c r="A63" t="str">
        <f>tbl_REF_CIS_Safeguards[[#This Row],[SafeguardID]]</f>
        <v>08.03</v>
      </c>
      <c r="B63">
        <f>tbl_REF_CIS_Safeguards[[#This Row],[ControlID]]</f>
        <v>8</v>
      </c>
      <c r="C63" s="8" t="str" cm="1">
        <f t="array" aca="1" ref="C63" ca="1">_xlfn.XLOOKUP(tbl_Safeguards[[#This Row],[ControlID]],tbl_REF_CIS_Controls[ControlID],INDIRECT("tbl_REF_CIS_Controls[ControlName"&amp;DocumentLanguage&amp;"]"))</f>
        <v>Gestion du journal d'audit</v>
      </c>
      <c r="D63" s="8" t="str" cm="1">
        <f t="array" aca="1" ref="D63" ca="1">INDIRECT("tbl_REF_CIS_Safeguards[@Title"&amp;DocumentLanguage&amp;"]")</f>
        <v>Assurer un stockage adéquat des journaux d'audit</v>
      </c>
      <c r="E63" s="8" t="str" cm="1">
        <f t="array" aca="1" ref="E63" ca="1">INDIRECT("tbl_REF_CIS_Safeguards[@Description"&amp;DocumentLanguage&amp;"]")</f>
        <v>Veiller à ce que les destinations de journalisation disposent d'un espace de stockage suffisant pour se conformer au processus de gestion des journaux d'audit de l'entreprise.</v>
      </c>
      <c r="F63" s="8"/>
      <c r="G63" t="s">
        <v>106</v>
      </c>
      <c r="H63" s="8"/>
      <c r="I63" s="92" cm="1">
        <f t="array" aca="1" ref="I63"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63" s="8">
        <f ca="1">IF(tbl_Safeguards[[#This Row],[En place
In place]]&lt;&gt;"N/A",_xlfn.XLOOKUP(tbl_Safeguards[[#This Row],[IG
IG]],tbl_safeguardWeightIG[IG],tbl_safeguardWeightIG[Weight]),"")</f>
        <v>1</v>
      </c>
      <c r="K63" s="8" cm="1">
        <f t="array" aca="1" ref="K6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64" spans="1:11" ht="45" hidden="1">
      <c r="A64" t="str">
        <f>tbl_REF_CIS_Safeguards[[#This Row],[SafeguardID]]</f>
        <v>08.04</v>
      </c>
      <c r="B64">
        <f>tbl_REF_CIS_Safeguards[[#This Row],[ControlID]]</f>
        <v>8</v>
      </c>
      <c r="C64" s="8" t="str" cm="1">
        <f t="array" aca="1" ref="C64" ca="1">_xlfn.XLOOKUP(tbl_Safeguards[[#This Row],[ControlID]],tbl_REF_CIS_Controls[ControlID],INDIRECT("tbl_REF_CIS_Controls[ControlName"&amp;DocumentLanguage&amp;"]"))</f>
        <v>Gestion du journal d'audit</v>
      </c>
      <c r="D64" s="8" t="str" cm="1">
        <f t="array" aca="1" ref="D64" ca="1">INDIRECT("tbl_REF_CIS_Safeguards[@Title"&amp;DocumentLanguage&amp;"]")</f>
        <v>Normaliser la synchronisation du temps</v>
      </c>
      <c r="E64" s="8" t="str" cm="1">
        <f t="array" aca="1" ref="E64" ca="1">INDIRECT("tbl_REF_CIS_Safeguards[@Description"&amp;DocumentLanguage&amp;"]")</f>
        <v>Normaliser la synchronisation de l'heure. Configurez au moins deux sources de temps synchronisées pour les actifs de l'entreprise, si cela est possible.</v>
      </c>
      <c r="F64" s="8"/>
      <c r="G64" t="s">
        <v>107</v>
      </c>
      <c r="H64" s="8"/>
      <c r="I64" s="92" cm="1">
        <f t="array" aca="1" ref="I64"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64" s="8" t="str">
        <f ca="1">IF(tbl_Safeguards[[#This Row],[En place
In place]]&lt;&gt;"N/A",_xlfn.XLOOKUP(tbl_Safeguards[[#This Row],[IG
IG]],tbl_safeguardWeightIG[IG],tbl_safeguardWeightIG[Weight]),"")</f>
        <v/>
      </c>
      <c r="K64" s="8" t="str" cm="1">
        <f t="array" aca="1" ref="K6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65" spans="1:11" ht="75" hidden="1">
      <c r="A65" t="str">
        <f>tbl_REF_CIS_Safeguards[[#This Row],[SafeguardID]]</f>
        <v>08.05</v>
      </c>
      <c r="B65">
        <f>tbl_REF_CIS_Safeguards[[#This Row],[ControlID]]</f>
        <v>8</v>
      </c>
      <c r="C65" s="8" t="str" cm="1">
        <f t="array" aca="1" ref="C65" ca="1">_xlfn.XLOOKUP(tbl_Safeguards[[#This Row],[ControlID]],tbl_REF_CIS_Controls[ControlID],INDIRECT("tbl_REF_CIS_Controls[ControlName"&amp;DocumentLanguage&amp;"]"))</f>
        <v>Gestion du journal d'audit</v>
      </c>
      <c r="D65" s="8" t="str" cm="1">
        <f t="array" aca="1" ref="D65" ca="1">INDIRECT("tbl_REF_CIS_Safeguards[@Title"&amp;DocumentLanguage&amp;"]")</f>
        <v>Collecte de journaux d'audit détaillés</v>
      </c>
      <c r="E65" s="8" t="str" cm="1">
        <f t="array" aca="1" ref="E65" ca="1">INDIRECT("tbl_REF_CIS_Safeguards[@Description"&amp;DocumentLanguage&amp;"]")</f>
        <v>Configurez une journalisation d'audit détaillée pour les actifs de l'entreprise contenant des données sensibles. Incluez la source de l'événement, la date, le nom d'utilisateur, l'horodatage, les adresses de source et de destination, ainsi que d'autres éléments utiles pouvant contribuer à une enquête médico-légale.</v>
      </c>
      <c r="F65" s="8" t="s">
        <v>134</v>
      </c>
      <c r="G65" t="s">
        <v>106</v>
      </c>
      <c r="H65" s="8"/>
      <c r="I65" s="92" cm="1">
        <f t="array" aca="1" ref="I65"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65" s="8">
        <f ca="1">IF(tbl_Safeguards[[#This Row],[En place
In place]]&lt;&gt;"N/A",_xlfn.XLOOKUP(tbl_Safeguards[[#This Row],[IG
IG]],tbl_safeguardWeightIG[IG],tbl_safeguardWeightIG[Weight]),"")</f>
        <v>0.75</v>
      </c>
      <c r="K65" s="8" cm="1">
        <f t="array" aca="1" ref="K6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66" spans="1:11" ht="30" hidden="1">
      <c r="A66" t="str">
        <f>tbl_REF_CIS_Safeguards[[#This Row],[SafeguardID]]</f>
        <v>08.06</v>
      </c>
      <c r="B66">
        <f>tbl_REF_CIS_Safeguards[[#This Row],[ControlID]]</f>
        <v>8</v>
      </c>
      <c r="C66" s="8" t="str" cm="1">
        <f t="array" aca="1" ref="C66" ca="1">_xlfn.XLOOKUP(tbl_Safeguards[[#This Row],[ControlID]],tbl_REF_CIS_Controls[ControlID],INDIRECT("tbl_REF_CIS_Controls[ControlName"&amp;DocumentLanguage&amp;"]"))</f>
        <v>Gestion du journal d'audit</v>
      </c>
      <c r="D66" s="8" t="str" cm="1">
        <f t="array" aca="1" ref="D66" ca="1">INDIRECT("tbl_REF_CIS_Safeguards[@Title"&amp;DocumentLanguage&amp;"]")</f>
        <v>Collecte des journaux d'audit des requêtes DNS</v>
      </c>
      <c r="E66" s="8" t="str" cm="1">
        <f t="array" aca="1" ref="E66" ca="1">INDIRECT("tbl_REF_CIS_Safeguards[@Description"&amp;DocumentLanguage&amp;"]")</f>
        <v>Collecter les journaux d'audit des requêtes DNS sur les actifs de l'entreprise, lorsque cela est approprié et pris en charge.</v>
      </c>
      <c r="F66" s="8"/>
      <c r="G66" t="s">
        <v>106</v>
      </c>
      <c r="H66" s="8"/>
      <c r="I66" s="92" cm="1">
        <f t="array" aca="1" ref="I66"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66" s="8">
        <f ca="1">IF(tbl_Safeguards[[#This Row],[En place
In place]]&lt;&gt;"N/A",_xlfn.XLOOKUP(tbl_Safeguards[[#This Row],[IG
IG]],tbl_safeguardWeightIG[IG],tbl_safeguardWeightIG[Weight]),"")</f>
        <v>0.75</v>
      </c>
      <c r="K66" s="8" cm="1">
        <f t="array" aca="1" ref="K6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67" spans="1:11" ht="30" hidden="1">
      <c r="A67" t="str">
        <f>tbl_REF_CIS_Safeguards[[#This Row],[SafeguardID]]</f>
        <v>08.07</v>
      </c>
      <c r="B67">
        <f>tbl_REF_CIS_Safeguards[[#This Row],[ControlID]]</f>
        <v>8</v>
      </c>
      <c r="C67" s="8" t="str" cm="1">
        <f t="array" aca="1" ref="C67" ca="1">_xlfn.XLOOKUP(tbl_Safeguards[[#This Row],[ControlID]],tbl_REF_CIS_Controls[ControlID],INDIRECT("tbl_REF_CIS_Controls[ControlName"&amp;DocumentLanguage&amp;"]"))</f>
        <v>Gestion du journal d'audit</v>
      </c>
      <c r="D67" s="8" t="str" cm="1">
        <f t="array" aca="1" ref="D67" ca="1">INDIRECT("tbl_REF_CIS_Safeguards[@Title"&amp;DocumentLanguage&amp;"]")</f>
        <v>Collecte des journaux d'audit des demandes d'URL</v>
      </c>
      <c r="E67" s="8" t="str" cm="1">
        <f t="array" aca="1" ref="E67" ca="1">INDIRECT("tbl_REF_CIS_Safeguards[@Description"&amp;DocumentLanguage&amp;"]")</f>
        <v>Collecter les journaux d'audit des actifs de l'entreprise à la demande de l'URL, le cas échéant et lorsque cela est possible.</v>
      </c>
      <c r="F67" s="8"/>
      <c r="G67" t="s">
        <v>106</v>
      </c>
      <c r="H67" s="8"/>
      <c r="I67" s="92" cm="1">
        <f t="array" aca="1" ref="I67"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67" s="8">
        <f ca="1">IF(tbl_Safeguards[[#This Row],[En place
In place]]&lt;&gt;"N/A",_xlfn.XLOOKUP(tbl_Safeguards[[#This Row],[IG
IG]],tbl_safeguardWeightIG[IG],tbl_safeguardWeightIG[Weight]),"")</f>
        <v>0.75</v>
      </c>
      <c r="K67" s="8" cm="1">
        <f t="array" aca="1" ref="K6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68" spans="1:11" ht="60" hidden="1">
      <c r="A68" t="str">
        <f>tbl_REF_CIS_Safeguards[[#This Row],[SafeguardID]]</f>
        <v>08.08</v>
      </c>
      <c r="B68">
        <f>tbl_REF_CIS_Safeguards[[#This Row],[ControlID]]</f>
        <v>8</v>
      </c>
      <c r="C68" s="8" t="str" cm="1">
        <f t="array" aca="1" ref="C68" ca="1">_xlfn.XLOOKUP(tbl_Safeguards[[#This Row],[ControlID]],tbl_REF_CIS_Controls[ControlID],INDIRECT("tbl_REF_CIS_Controls[ControlName"&amp;DocumentLanguage&amp;"]"))</f>
        <v>Gestion du journal d'audit</v>
      </c>
      <c r="D68" s="8" t="str" cm="1">
        <f t="array" aca="1" ref="D68" ca="1">INDIRECT("tbl_REF_CIS_Safeguards[@Title"&amp;DocumentLanguage&amp;"]")</f>
        <v>Collecte des journaux d'audit de la ligne de commande</v>
      </c>
      <c r="E68" s="8" t="str" cm="1">
        <f t="array" aca="1" ref="E68" ca="1">INDIRECT("tbl_REF_CIS_Safeguards[@Description"&amp;DocumentLanguage&amp;"]")</f>
        <v>Collecter les journaux d'audit de la ligne de commande. Les exemples de mise en œuvre comprennent la collecte de journaux d'audit à partir de PowerShell®, BASH™ et de terminaux d'administration distants.</v>
      </c>
      <c r="F68" s="8"/>
      <c r="G68" t="s">
        <v>17</v>
      </c>
      <c r="H68" s="8"/>
      <c r="I68" s="92" cm="1">
        <f t="array" aca="1" ref="I68"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68" s="8">
        <f ca="1">IF(tbl_Safeguards[[#This Row],[En place
In place]]&lt;&gt;"N/A",_xlfn.XLOOKUP(tbl_Safeguards[[#This Row],[IG
IG]],tbl_safeguardWeightIG[IG],tbl_safeguardWeightIG[Weight]),"")</f>
        <v>0.75</v>
      </c>
      <c r="K68" s="8" cm="1">
        <f t="array" aca="1" ref="K6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69" spans="1:11" ht="90" hidden="1">
      <c r="A69" t="str">
        <f>tbl_REF_CIS_Safeguards[[#This Row],[SafeguardID]]</f>
        <v>08.09</v>
      </c>
      <c r="B69">
        <f>tbl_REF_CIS_Safeguards[[#This Row],[ControlID]]</f>
        <v>8</v>
      </c>
      <c r="C69" s="8" t="str" cm="1">
        <f t="array" aca="1" ref="C69" ca="1">_xlfn.XLOOKUP(tbl_Safeguards[[#This Row],[ControlID]],tbl_REF_CIS_Controls[ControlID],INDIRECT("tbl_REF_CIS_Controls[ControlName"&amp;DocumentLanguage&amp;"]"))</f>
        <v>Gestion du journal d'audit</v>
      </c>
      <c r="D69" s="8" t="str" cm="1">
        <f t="array" aca="1" ref="D69" ca="1">INDIRECT("tbl_REF_CIS_Safeguards[@Title"&amp;DocumentLanguage&amp;"]")</f>
        <v>Centraliser les journaux d'audit</v>
      </c>
      <c r="E69" s="8" t="str" cm="1">
        <f t="array" aca="1" ref="E69" ca="1">INDIRECT("tbl_REF_CIS_Safeguards[@Description"&amp;DocumentLanguage&amp;"]")</f>
        <v>Centraliser, dans la mesure du possible, la collecte et la conservation des journaux d'audit pour l'ensemble des actifs de l'entreprise, conformément au processus documenté de gestion des journaux d'audit. Les exemples de mise en œuvre comprennent l'utilisation d'un outil SIEM pour centraliser plusieurs sources de journaux.</v>
      </c>
      <c r="F69" s="8"/>
      <c r="G69" t="s">
        <v>106</v>
      </c>
      <c r="H69" s="8"/>
      <c r="I69" s="92" cm="1">
        <f t="array" aca="1" ref="I69"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69" s="8">
        <f ca="1">IF(tbl_Safeguards[[#This Row],[En place
In place]]&lt;&gt;"N/A",_xlfn.XLOOKUP(tbl_Safeguards[[#This Row],[IG
IG]],tbl_safeguardWeightIG[IG],tbl_safeguardWeightIG[Weight]),"")</f>
        <v>0.75</v>
      </c>
      <c r="K69" s="8" cm="1">
        <f t="array" aca="1" ref="K6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70" spans="1:11" ht="30" hidden="1">
      <c r="A70" t="str">
        <f>tbl_REF_CIS_Safeguards[[#This Row],[SafeguardID]]</f>
        <v>08.10</v>
      </c>
      <c r="B70">
        <f>tbl_REF_CIS_Safeguards[[#This Row],[ControlID]]</f>
        <v>8</v>
      </c>
      <c r="C70" s="8" t="str" cm="1">
        <f t="array" aca="1" ref="C70" ca="1">_xlfn.XLOOKUP(tbl_Safeguards[[#This Row],[ControlID]],tbl_REF_CIS_Controls[ControlID],INDIRECT("tbl_REF_CIS_Controls[ControlName"&amp;DocumentLanguage&amp;"]"))</f>
        <v>Gestion du journal d'audit</v>
      </c>
      <c r="D70" s="8" t="str" cm="1">
        <f t="array" aca="1" ref="D70" ca="1">INDIRECT("tbl_REF_CIS_Safeguards[@Title"&amp;DocumentLanguage&amp;"]")</f>
        <v>Conserver les journaux d'audit</v>
      </c>
      <c r="E70" s="8" t="str" cm="1">
        <f t="array" aca="1" ref="E70" ca="1">INDIRECT("tbl_REF_CIS_Safeguards[@Description"&amp;DocumentLanguage&amp;"]")</f>
        <v>Conserver les journaux d'audit des actifs de l'entreprise pendant au moins 90 jours.</v>
      </c>
      <c r="F70" s="8"/>
      <c r="G70" t="s">
        <v>106</v>
      </c>
      <c r="H70" s="8"/>
      <c r="I70" s="92" cm="1">
        <f t="array" aca="1" ref="I70"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70" s="8">
        <f ca="1">IF(tbl_Safeguards[[#This Row],[En place
In place]]&lt;&gt;"N/A",_xlfn.XLOOKUP(tbl_Safeguards[[#This Row],[IG
IG]],tbl_safeguardWeightIG[IG],tbl_safeguardWeightIG[Weight]),"")</f>
        <v>0.75</v>
      </c>
      <c r="K70" s="8" cm="1">
        <f t="array" aca="1" ref="K7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71" spans="1:11" ht="60" hidden="1">
      <c r="A71" t="str">
        <f>tbl_REF_CIS_Safeguards[[#This Row],[SafeguardID]]</f>
        <v>08.11</v>
      </c>
      <c r="B71">
        <f>tbl_REF_CIS_Safeguards[[#This Row],[ControlID]]</f>
        <v>8</v>
      </c>
      <c r="C71" s="8" t="str" cm="1">
        <f t="array" aca="1" ref="C71" ca="1">_xlfn.XLOOKUP(tbl_Safeguards[[#This Row],[ControlID]],tbl_REF_CIS_Controls[ControlID],INDIRECT("tbl_REF_CIS_Controls[ControlName"&amp;DocumentLanguage&amp;"]"))</f>
        <v>Gestion du journal d'audit</v>
      </c>
      <c r="D71" s="8" t="str" cm="1">
        <f t="array" aca="1" ref="D71" ca="1">INDIRECT("tbl_REF_CIS_Safeguards[@Title"&amp;DocumentLanguage&amp;"]")</f>
        <v>Examiner les journaux d'audit</v>
      </c>
      <c r="E71" s="8" t="str" cm="1">
        <f t="array" aca="1" ref="E71" ca="1">INDIRECT("tbl_REF_CIS_Safeguards[@Description"&amp;DocumentLanguage&amp;"]")</f>
        <v>Examiner les journaux d'audit pour détecter les anomalies ou les événements anormaux qui pourraient indiquer une menace potentielle. Effectuer des contrôles hebdomadaires ou plus fréquents.</v>
      </c>
      <c r="F71" s="8"/>
      <c r="G71" t="s">
        <v>106</v>
      </c>
      <c r="H71" s="8"/>
      <c r="I71" s="92" cm="1">
        <f t="array" aca="1" ref="I71"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71" s="8">
        <f ca="1">IF(tbl_Safeguards[[#This Row],[En place
In place]]&lt;&gt;"N/A",_xlfn.XLOOKUP(tbl_Safeguards[[#This Row],[IG
IG]],tbl_safeguardWeightIG[IG],tbl_safeguardWeightIG[Weight]),"")</f>
        <v>0.75</v>
      </c>
      <c r="K71" s="8" cm="1">
        <f t="array" aca="1" ref="K7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72" spans="1:11" ht="75" hidden="1">
      <c r="A72" t="str">
        <f>tbl_REF_CIS_Safeguards[[#This Row],[SafeguardID]]</f>
        <v>08.12</v>
      </c>
      <c r="B72">
        <f>tbl_REF_CIS_Safeguards[[#This Row],[ControlID]]</f>
        <v>8</v>
      </c>
      <c r="C72" s="8" t="str" cm="1">
        <f t="array" aca="1" ref="C72" ca="1">_xlfn.XLOOKUP(tbl_Safeguards[[#This Row],[ControlID]],tbl_REF_CIS_Controls[ControlID],INDIRECT("tbl_REF_CIS_Controls[ControlName"&amp;DocumentLanguage&amp;"]"))</f>
        <v>Gestion du journal d'audit</v>
      </c>
      <c r="D72" s="8" t="str" cm="1">
        <f t="array" aca="1" ref="D72" ca="1">INDIRECT("tbl_REF_CIS_Safeguards[@Title"&amp;DocumentLanguage&amp;"]")</f>
        <v>Collecter les journaux des fournisseurs de services</v>
      </c>
      <c r="E72" s="8" t="str" cm="1">
        <f t="array" aca="1" ref="E72" ca="1">INDIRECT("tbl_REF_CIS_Safeguards[@Description"&amp;DocumentLanguage&amp;"]")</f>
        <v>Collecter les journaux du fournisseur de services, le cas échéant. Les exemples de mise en œuvre comprennent la collecte des événements d'authentification et d'autorisation, des événements de création et d'élimination des données, et des événements de gestion des utilisateurs.</v>
      </c>
      <c r="F72" s="8"/>
      <c r="G72" t="s">
        <v>106</v>
      </c>
      <c r="H72" s="8"/>
      <c r="I72" s="92" cm="1">
        <f t="array" aca="1" ref="I72"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72" s="8">
        <f ca="1">IF(tbl_Safeguards[[#This Row],[En place
In place]]&lt;&gt;"N/A",_xlfn.XLOOKUP(tbl_Safeguards[[#This Row],[IG
IG]],tbl_safeguardWeightIG[IG],tbl_safeguardWeightIG[Weight]),"")</f>
        <v>0.5</v>
      </c>
      <c r="K72" s="8" cm="1">
        <f t="array" aca="1" ref="K7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73" spans="1:11" ht="60" hidden="1">
      <c r="A73" t="str">
        <f>tbl_REF_CIS_Safeguards[[#This Row],[SafeguardID]]</f>
        <v>09.01</v>
      </c>
      <c r="B73">
        <f>tbl_REF_CIS_Safeguards[[#This Row],[ControlID]]</f>
        <v>9</v>
      </c>
      <c r="C73" s="8" t="str" cm="1">
        <f t="array" aca="1" ref="C73" ca="1">_xlfn.XLOOKUP(tbl_Safeguards[[#This Row],[ControlID]],tbl_REF_CIS_Controls[ControlID],INDIRECT("tbl_REF_CIS_Controls[ControlName"&amp;DocumentLanguage&amp;"]"))</f>
        <v>Protection des courriels et des navigateurs web</v>
      </c>
      <c r="D73" s="8" t="str" cm="1">
        <f t="array" aca="1" ref="D73" ca="1">INDIRECT("tbl_REF_CIS_Safeguards[@Title"&amp;DocumentLanguage&amp;"]")</f>
        <v>Veiller à n'utiliser que des navigateurs et des clients de messagerie entièrement pris en charge</v>
      </c>
      <c r="E73" s="8" t="str" cm="1">
        <f t="array" aca="1" ref="E73" ca="1">INDIRECT("tbl_REF_CIS_Safeguards[@Description"&amp;DocumentLanguage&amp;"]")</f>
        <v>Veiller à ce que seuls les navigateurs et les clients de messagerie entièrement pris en charge soient autorisés à s'exécuter dans l'entreprise, en utilisant uniquement la dernière version des navigateurs et des clients de messagerie fournie par le fournisseur.</v>
      </c>
      <c r="F73" s="8" t="str" cm="1">
        <f t="array" aca="1" ref="F73" ca="1">INDIRECT("tbl_REF_CIS_Safeguards[@Comment"&amp;DocumentLanguage&amp;"]")</f>
        <v/>
      </c>
      <c r="G73" t="s">
        <v>106</v>
      </c>
      <c r="H73" s="8"/>
      <c r="I73" s="92" cm="1">
        <f t="array" aca="1" ref="I73"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73" s="8">
        <f ca="1">IF(tbl_Safeguards[[#This Row],[En place
In place]]&lt;&gt;"N/A",_xlfn.XLOOKUP(tbl_Safeguards[[#This Row],[IG
IG]],tbl_safeguardWeightIG[IG],tbl_safeguardWeightIG[Weight]),"")</f>
        <v>1</v>
      </c>
      <c r="K73" s="8" cm="1">
        <f t="array" aca="1" ref="K7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74" spans="1:11" ht="45" hidden="1">
      <c r="A74" t="str">
        <f>tbl_REF_CIS_Safeguards[[#This Row],[SafeguardID]]</f>
        <v>09.02</v>
      </c>
      <c r="B74">
        <f>tbl_REF_CIS_Safeguards[[#This Row],[ControlID]]</f>
        <v>9</v>
      </c>
      <c r="C74" s="8" t="str" cm="1">
        <f t="array" aca="1" ref="C74" ca="1">_xlfn.XLOOKUP(tbl_Safeguards[[#This Row],[ControlID]],tbl_REF_CIS_Controls[ControlID],INDIRECT("tbl_REF_CIS_Controls[ControlName"&amp;DocumentLanguage&amp;"]"))</f>
        <v>Protection des courriels et des navigateurs web</v>
      </c>
      <c r="D74" s="8" t="str" cm="1">
        <f t="array" aca="1" ref="D74" ca="1">INDIRECT("tbl_REF_CIS_Safeguards[@Title"&amp;DocumentLanguage&amp;"]")</f>
        <v>Utiliser les services de filtrage DNS</v>
      </c>
      <c r="E74" s="8" t="str" cm="1">
        <f t="array" aca="1" ref="E74" ca="1">INDIRECT("tbl_REF_CIS_Safeguards[@Description"&amp;DocumentLanguage&amp;"]")</f>
        <v>Utiliser des services de filtrage DNS sur tous les appareils des utilisateurs finaux, y compris les équipements distants et sur site, pour bloquer l'accès aux domaines malveillants connus.</v>
      </c>
      <c r="F74" s="8" t="str" cm="1">
        <f t="array" aca="1" ref="F74" ca="1">INDIRECT("tbl_REF_CIS_Safeguards[@Comment"&amp;DocumentLanguage&amp;"]")</f>
        <v/>
      </c>
      <c r="G74" t="s">
        <v>106</v>
      </c>
      <c r="H74" s="8"/>
      <c r="I74" s="92" cm="1">
        <f t="array" aca="1" ref="I74"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74" s="8">
        <f ca="1">IF(tbl_Safeguards[[#This Row],[En place
In place]]&lt;&gt;"N/A",_xlfn.XLOOKUP(tbl_Safeguards[[#This Row],[IG
IG]],tbl_safeguardWeightIG[IG],tbl_safeguardWeightIG[Weight]),"")</f>
        <v>1</v>
      </c>
      <c r="K74" s="8" cm="1">
        <f t="array" aca="1" ref="K7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75" spans="1:11" ht="90" hidden="1">
      <c r="A75" t="str">
        <f>tbl_REF_CIS_Safeguards[[#This Row],[SafeguardID]]</f>
        <v>09.03</v>
      </c>
      <c r="B75">
        <f>tbl_REF_CIS_Safeguards[[#This Row],[ControlID]]</f>
        <v>9</v>
      </c>
      <c r="C75" s="8" t="str" cm="1">
        <f t="array" aca="1" ref="C75" ca="1">_xlfn.XLOOKUP(tbl_Safeguards[[#This Row],[ControlID]],tbl_REF_CIS_Controls[ControlID],INDIRECT("tbl_REF_CIS_Controls[ControlName"&amp;DocumentLanguage&amp;"]"))</f>
        <v>Protection des courriels et des navigateurs web</v>
      </c>
      <c r="D75" s="8" t="str" cm="1">
        <f t="array" aca="1" ref="D75" ca="1">INDIRECT("tbl_REF_CIS_Safeguards[@Title"&amp;DocumentLanguage&amp;"]")</f>
        <v>Maintenir et appliquer des filtres d'URL basés sur le réseau</v>
      </c>
      <c r="E75" s="8" t="str" cm="1">
        <f t="array" aca="1" ref="E75" ca="1">INDIRECT("tbl_REF_CIS_Safeguards[@Description"&amp;DocumentLanguage&amp;"]")</f>
        <v>Appliquer et mettre à jour les filtres URL basés sur le réseau afin d'empêcher un bien de l'entreprise de se connecter à des sites web potentiellement malveillants ou non approuvés. Les exemples de mise en œuvre comprennent le filtrage par catégorie, le filtrage basé sur la réputation ou l'utilisation de listes de blocage. Appliquer les filtres à tous les actifs de l'entreprise.</v>
      </c>
      <c r="F75" s="8" t="str" cm="1">
        <f t="array" aca="1" ref="F75" ca="1">INDIRECT("tbl_REF_CIS_Safeguards[@Comment"&amp;DocumentLanguage&amp;"]")</f>
        <v/>
      </c>
      <c r="G75" t="s">
        <v>17</v>
      </c>
      <c r="H75" s="8"/>
      <c r="I75" s="92" cm="1">
        <f t="array" aca="1" ref="I75"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75" s="8">
        <f ca="1">IF(tbl_Safeguards[[#This Row],[En place
In place]]&lt;&gt;"N/A",_xlfn.XLOOKUP(tbl_Safeguards[[#This Row],[IG
IG]],tbl_safeguardWeightIG[IG],tbl_safeguardWeightIG[Weight]),"")</f>
        <v>0.75</v>
      </c>
      <c r="K75" s="8" cm="1">
        <f t="array" aca="1" ref="K7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76" spans="1:11" ht="45" hidden="1">
      <c r="A76" t="str">
        <f>tbl_REF_CIS_Safeguards[[#This Row],[SafeguardID]]</f>
        <v>09.04</v>
      </c>
      <c r="B76">
        <f>tbl_REF_CIS_Safeguards[[#This Row],[ControlID]]</f>
        <v>9</v>
      </c>
      <c r="C76" s="8" t="str" cm="1">
        <f t="array" aca="1" ref="C76" ca="1">_xlfn.XLOOKUP(tbl_Safeguards[[#This Row],[ControlID]],tbl_REF_CIS_Controls[ControlID],INDIRECT("tbl_REF_CIS_Controls[ControlName"&amp;DocumentLanguage&amp;"]"))</f>
        <v>Protection des courriels et des navigateurs web</v>
      </c>
      <c r="D76" s="8" t="str" cm="1">
        <f t="array" aca="1" ref="D76" ca="1">INDIRECT("tbl_REF_CIS_Safeguards[@Title"&amp;DocumentLanguage&amp;"]")</f>
        <v>Restreindre les extensions inutiles ou non autorisées du navigateur et du client de messagerie</v>
      </c>
      <c r="E76" s="8" t="str" cm="1">
        <f t="array" aca="1" ref="E76" ca="1">INDIRECT("tbl_REF_CIS_Safeguards[@Description"&amp;DocumentLanguage&amp;"]")</f>
        <v>Restreindre, en les désinstallant ou en les désactivant, tous les plugins, extensions et applications complémentaires non autorisés ou inutiles du navigateur ou du client de messagerie.</v>
      </c>
      <c r="F76" s="8" t="str" cm="1">
        <f t="array" aca="1" ref="F76" ca="1">INDIRECT("tbl_REF_CIS_Safeguards[@Comment"&amp;DocumentLanguage&amp;"]")</f>
        <v/>
      </c>
      <c r="G76" t="s">
        <v>107</v>
      </c>
      <c r="H76" s="8"/>
      <c r="I76" s="92" cm="1">
        <f t="array" aca="1" ref="I76"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76" s="8" t="str">
        <f ca="1">IF(tbl_Safeguards[[#This Row],[En place
In place]]&lt;&gt;"N/A",_xlfn.XLOOKUP(tbl_Safeguards[[#This Row],[IG
IG]],tbl_safeguardWeightIG[IG],tbl_safeguardWeightIG[Weight]),"")</f>
        <v/>
      </c>
      <c r="K76" s="8" t="str" cm="1">
        <f t="array" aca="1" ref="K7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77" spans="1:11" ht="75" hidden="1">
      <c r="A77" t="str">
        <f>tbl_REF_CIS_Safeguards[[#This Row],[SafeguardID]]</f>
        <v>09.05</v>
      </c>
      <c r="B77">
        <f>tbl_REF_CIS_Safeguards[[#This Row],[ControlID]]</f>
        <v>9</v>
      </c>
      <c r="C77" s="8" t="str" cm="1">
        <f t="array" aca="1" ref="C77" ca="1">_xlfn.XLOOKUP(tbl_Safeguards[[#This Row],[ControlID]],tbl_REF_CIS_Controls[ControlID],INDIRECT("tbl_REF_CIS_Controls[ControlName"&amp;DocumentLanguage&amp;"]"))</f>
        <v>Protection des courriels et des navigateurs web</v>
      </c>
      <c r="D77" s="8" t="str" cm="1">
        <f t="array" aca="1" ref="D77" ca="1">INDIRECT("tbl_REF_CIS_Safeguards[@Title"&amp;DocumentLanguage&amp;"]")</f>
        <v>Mise en œuvre de DMARC</v>
      </c>
      <c r="E77" s="8" t="str" cm="1">
        <f t="array" aca="1" ref="E77" ca="1">INDIRECT("tbl_REF_CIS_Safeguards[@Description"&amp;DocumentLanguage&amp;"]")</f>
        <v>Pour réduire les risques d'usurpation ou de modification de courriels provenant de domaines valides, mettez en œuvre la politique et la vérification DMARC, en commençant par appliquer les normes SPF (Sender Policy Framework) et DKIM (DomainKeys Identified Mail).</v>
      </c>
      <c r="F77" s="8" t="str" cm="1">
        <f t="array" aca="1" ref="F77" ca="1">INDIRECT("tbl_REF_CIS_Safeguards[@Comment"&amp;DocumentLanguage&amp;"]")</f>
        <v/>
      </c>
      <c r="G77" t="s">
        <v>107</v>
      </c>
      <c r="H77" s="8"/>
      <c r="I77" s="92" cm="1">
        <f t="array" aca="1" ref="I77"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77" s="8" t="str">
        <f ca="1">IF(tbl_Safeguards[[#This Row],[En place
In place]]&lt;&gt;"N/A",_xlfn.XLOOKUP(tbl_Safeguards[[#This Row],[IG
IG]],tbl_safeguardWeightIG[IG],tbl_safeguardWeightIG[Weight]),"")</f>
        <v/>
      </c>
      <c r="K77" s="8" t="str" cm="1">
        <f t="array" aca="1" ref="K7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78" spans="1:11" ht="30" hidden="1">
      <c r="A78" t="str">
        <f>tbl_REF_CIS_Safeguards[[#This Row],[SafeguardID]]</f>
        <v>09.06</v>
      </c>
      <c r="B78">
        <f>tbl_REF_CIS_Safeguards[[#This Row],[ControlID]]</f>
        <v>9</v>
      </c>
      <c r="C78" s="8" t="str" cm="1">
        <f t="array" aca="1" ref="C78" ca="1">_xlfn.XLOOKUP(tbl_Safeguards[[#This Row],[ControlID]],tbl_REF_CIS_Controls[ControlID],INDIRECT("tbl_REF_CIS_Controls[ControlName"&amp;DocumentLanguage&amp;"]"))</f>
        <v>Protection des courriels et des navigateurs web</v>
      </c>
      <c r="D78" s="8" t="str" cm="1">
        <f t="array" aca="1" ref="D78" ca="1">INDIRECT("tbl_REF_CIS_Safeguards[@Title"&amp;DocumentLanguage&amp;"]")</f>
        <v>Bloquer les types de fichiers inutiles</v>
      </c>
      <c r="E78" s="8" t="str" cm="1">
        <f t="array" aca="1" ref="E78" ca="1">INDIRECT("tbl_REF_CIS_Safeguards[@Description"&amp;DocumentLanguage&amp;"]")</f>
        <v>Bloquer les types de fichiers inutiles qui tentent d'entrer dans la passerelle de messagerie de l'entreprise.</v>
      </c>
      <c r="F78" s="8" t="str" cm="1">
        <f t="array" aca="1" ref="F78" ca="1">INDIRECT("tbl_REF_CIS_Safeguards[@Comment"&amp;DocumentLanguage&amp;"]")</f>
        <v/>
      </c>
      <c r="G78" t="s">
        <v>107</v>
      </c>
      <c r="H78" s="8"/>
      <c r="I78" s="92" cm="1">
        <f t="array" aca="1" ref="I78"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78" s="8" t="str">
        <f ca="1">IF(tbl_Safeguards[[#This Row],[En place
In place]]&lt;&gt;"N/A",_xlfn.XLOOKUP(tbl_Safeguards[[#This Row],[IG
IG]],tbl_safeguardWeightIG[IG],tbl_safeguardWeightIG[Weight]),"")</f>
        <v/>
      </c>
      <c r="K78" s="8" t="str" cm="1">
        <f t="array" aca="1" ref="K7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79" spans="1:11" ht="60" hidden="1">
      <c r="A79" t="str">
        <f>tbl_REF_CIS_Safeguards[[#This Row],[SafeguardID]]</f>
        <v>09.07</v>
      </c>
      <c r="B79">
        <f>tbl_REF_CIS_Safeguards[[#This Row],[ControlID]]</f>
        <v>9</v>
      </c>
      <c r="C79" s="8" t="str" cm="1">
        <f t="array" aca="1" ref="C79" ca="1">_xlfn.XLOOKUP(tbl_Safeguards[[#This Row],[ControlID]],tbl_REF_CIS_Controls[ControlID],INDIRECT("tbl_REF_CIS_Controls[ControlName"&amp;DocumentLanguage&amp;"]"))</f>
        <v>Protection des courriels et des navigateurs web</v>
      </c>
      <c r="D79" s="8" t="str" cm="1">
        <f t="array" aca="1" ref="D79" ca="1">INDIRECT("tbl_REF_CIS_Safeguards[@Title"&amp;DocumentLanguage&amp;"]")</f>
        <v>Déployer et maintenir les protections anti-programmes malveillants des serveurs de messagerie
(Anti-Malware)</v>
      </c>
      <c r="E79" s="8" t="str" cm="1">
        <f t="array" aca="1" ref="E79" ca="1">INDIRECT("tbl_REF_CIS_Safeguards[@Description"&amp;DocumentLanguage&amp;"]")</f>
        <v>Déployer et maintenir les protections anti-malware du serveur de messagerie, telles que l'analyse des pièces jointes et/ou le sandboxing.</v>
      </c>
      <c r="F79" s="8" t="str" cm="1">
        <f t="array" aca="1" ref="F79" ca="1">INDIRECT("tbl_REF_CIS_Safeguards[@Comment"&amp;DocumentLanguage&amp;"]")</f>
        <v/>
      </c>
      <c r="G79" t="s">
        <v>107</v>
      </c>
      <c r="H79" s="8"/>
      <c r="I79" s="92" cm="1">
        <f t="array" aca="1" ref="I79"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79" s="8" t="str">
        <f ca="1">IF(tbl_Safeguards[[#This Row],[En place
In place]]&lt;&gt;"N/A",_xlfn.XLOOKUP(tbl_Safeguards[[#This Row],[IG
IG]],tbl_safeguardWeightIG[IG],tbl_safeguardWeightIG[Weight]),"")</f>
        <v/>
      </c>
      <c r="K79" s="8" t="str" cm="1">
        <f t="array" aca="1" ref="K7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80" spans="1:11" ht="45">
      <c r="A80" t="str">
        <f>tbl_REF_CIS_Safeguards[[#This Row],[SafeguardID]]</f>
        <v>10.01</v>
      </c>
      <c r="B80">
        <f>tbl_REF_CIS_Safeguards[[#This Row],[ControlID]]</f>
        <v>10</v>
      </c>
      <c r="C80" s="8" t="str" cm="1">
        <f t="array" aca="1" ref="C80" ca="1">_xlfn.XLOOKUP(tbl_Safeguards[[#This Row],[ControlID]],tbl_REF_CIS_Controls[ControlID],INDIRECT("tbl_REF_CIS_Controls[ControlName"&amp;DocumentLanguage&amp;"]"))</f>
        <v>Défenses contre les logiciels malveillants</v>
      </c>
      <c r="D80" s="8" t="str" cm="1">
        <f t="array" aca="1" ref="D80" ca="1">INDIRECT("tbl_REF_CIS_Safeguards[@Title"&amp;DocumentLanguage&amp;"]")</f>
        <v>Déployer et maintenir un logiciel anti-malware</v>
      </c>
      <c r="E80" s="8" t="str" cm="1">
        <f t="array" aca="1" ref="E80" ca="1">INDIRECT("tbl_REF_CIS_Safeguards[@Description"&amp;DocumentLanguage&amp;"]")</f>
        <v>Déployer et maintenir un logiciel anti-malware sur tous les actifs de l'entreprise.</v>
      </c>
      <c r="F80" s="8" t="s">
        <v>117</v>
      </c>
      <c r="G80" t="s">
        <v>111</v>
      </c>
      <c r="H80" s="8" t="s">
        <v>135</v>
      </c>
      <c r="I80" s="92" cm="1">
        <f t="array" aca="1" ref="I80"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80" s="8">
        <f ca="1">IF(tbl_Safeguards[[#This Row],[En place
In place]]&lt;&gt;"N/A",_xlfn.XLOOKUP(tbl_Safeguards[[#This Row],[IG
IG]],tbl_safeguardWeightIG[IG],tbl_safeguardWeightIG[Weight]),"")</f>
        <v>1</v>
      </c>
      <c r="K80" s="8" cm="1">
        <f t="array" aca="1" ref="K8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81" spans="1:11" ht="30">
      <c r="A81" t="str">
        <f>tbl_REF_CIS_Safeguards[[#This Row],[SafeguardID]]</f>
        <v>10.02</v>
      </c>
      <c r="B81">
        <f>tbl_REF_CIS_Safeguards[[#This Row],[ControlID]]</f>
        <v>10</v>
      </c>
      <c r="C81" s="8" t="str" cm="1">
        <f t="array" aca="1" ref="C81" ca="1">_xlfn.XLOOKUP(tbl_Safeguards[[#This Row],[ControlID]],tbl_REF_CIS_Controls[ControlID],INDIRECT("tbl_REF_CIS_Controls[ControlName"&amp;DocumentLanguage&amp;"]"))</f>
        <v>Défenses contre les logiciels malveillants</v>
      </c>
      <c r="D81" s="8" t="str" cm="1">
        <f t="array" aca="1" ref="D81" ca="1">INDIRECT("tbl_REF_CIS_Safeguards[@Title"&amp;DocumentLanguage&amp;"]")</f>
        <v>Configurer les mises à jour automatiques des signatures Anti-Malware</v>
      </c>
      <c r="E81" s="8" t="str" cm="1">
        <f t="array" aca="1" ref="E81" ca="1">INDIRECT("tbl_REF_CIS_Safeguards[@Description"&amp;DocumentLanguage&amp;"]")</f>
        <v>Configurer des mises à jour automatiques pour les fichiers de signatures anti-malware sur tous les actifs de l'entreprise.</v>
      </c>
      <c r="F81" s="8" t="s">
        <v>117</v>
      </c>
      <c r="G81" t="s">
        <v>111</v>
      </c>
      <c r="H81" s="8" t="s">
        <v>136</v>
      </c>
      <c r="I81" s="92" cm="1">
        <f t="array" aca="1" ref="I81"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81" s="8">
        <f ca="1">IF(tbl_Safeguards[[#This Row],[En place
In place]]&lt;&gt;"N/A",_xlfn.XLOOKUP(tbl_Safeguards[[#This Row],[IG
IG]],tbl_safeguardWeightIG[IG],tbl_safeguardWeightIG[Weight]),"")</f>
        <v>1</v>
      </c>
      <c r="K81" s="8" cm="1">
        <f t="array" aca="1" ref="K8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82" spans="1:11" ht="60">
      <c r="A82" t="str">
        <f>tbl_REF_CIS_Safeguards[[#This Row],[SafeguardID]]</f>
        <v>10.03</v>
      </c>
      <c r="B82">
        <f>tbl_REF_CIS_Safeguards[[#This Row],[ControlID]]</f>
        <v>10</v>
      </c>
      <c r="C82" s="8" t="str" cm="1">
        <f t="array" aca="1" ref="C82" ca="1">_xlfn.XLOOKUP(tbl_Safeguards[[#This Row],[ControlID]],tbl_REF_CIS_Controls[ControlID],INDIRECT("tbl_REF_CIS_Controls[ControlName"&amp;DocumentLanguage&amp;"]"))</f>
        <v>Défenses contre les logiciels malveillants</v>
      </c>
      <c r="D82" s="8" t="str" cm="1">
        <f t="array" aca="1" ref="D82" ca="1">INDIRECT("tbl_REF_CIS_Safeguards[@Title"&amp;DocumentLanguage&amp;"]")</f>
        <v>Désactiver l'exécution automatique et la lecture automatique pour les supports amovibles</v>
      </c>
      <c r="E82" s="8" t="str" cm="1">
        <f t="array" aca="1" ref="E82" ca="1">INDIRECT("tbl_REF_CIS_Safeguards[@Description"&amp;DocumentLanguage&amp;"]")</f>
        <v>Désactiver les fonctions d'exécution automatique autorun et autoplay pour les supports amovibles.</v>
      </c>
      <c r="F82" s="8" t="s">
        <v>117</v>
      </c>
      <c r="G82" t="s">
        <v>111</v>
      </c>
      <c r="H82" s="8" t="s">
        <v>137</v>
      </c>
      <c r="I82" s="92" cm="1">
        <f t="array" aca="1" ref="I82"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82" s="8">
        <f ca="1">IF(tbl_Safeguards[[#This Row],[En place
In place]]&lt;&gt;"N/A",_xlfn.XLOOKUP(tbl_Safeguards[[#This Row],[IG
IG]],tbl_safeguardWeightIG[IG],tbl_safeguardWeightIG[Weight]),"")</f>
        <v>1</v>
      </c>
      <c r="K82" s="8" cm="1">
        <f t="array" aca="1" ref="K8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83" spans="1:11" ht="30">
      <c r="A83" t="str">
        <f>tbl_REF_CIS_Safeguards[[#This Row],[SafeguardID]]</f>
        <v>10.04</v>
      </c>
      <c r="B83">
        <f>tbl_REF_CIS_Safeguards[[#This Row],[ControlID]]</f>
        <v>10</v>
      </c>
      <c r="C83" s="8" t="str" cm="1">
        <f t="array" aca="1" ref="C83" ca="1">_xlfn.XLOOKUP(tbl_Safeguards[[#This Row],[ControlID]],tbl_REF_CIS_Controls[ControlID],INDIRECT("tbl_REF_CIS_Controls[ControlName"&amp;DocumentLanguage&amp;"]"))</f>
        <v>Défenses contre les logiciels malveillants</v>
      </c>
      <c r="D83" s="8" t="str" cm="1">
        <f t="array" aca="1" ref="D83" ca="1">INDIRECT("tbl_REF_CIS_Safeguards[@Title"&amp;DocumentLanguage&amp;"]")</f>
        <v>Configurer l'analyse automatique des supports amovibles par un logiciel anti-malware</v>
      </c>
      <c r="E83" s="8" t="str" cm="1">
        <f t="array" aca="1" ref="E83" ca="1">INDIRECT("tbl_REF_CIS_Safeguards[@Description"&amp;DocumentLanguage&amp;"]")</f>
        <v>Configurer le logiciel anti-malware pour qu'il analyse automatiquement les supports amovibles.</v>
      </c>
      <c r="F83" s="8" t="s">
        <v>117</v>
      </c>
      <c r="G83" t="s">
        <v>111</v>
      </c>
      <c r="H83" s="8" t="s">
        <v>138</v>
      </c>
      <c r="I83" s="92" cm="1">
        <f t="array" aca="1" ref="I83"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83" s="8">
        <f ca="1">IF(tbl_Safeguards[[#This Row],[En place
In place]]&lt;&gt;"N/A",_xlfn.XLOOKUP(tbl_Safeguards[[#This Row],[IG
IG]],tbl_safeguardWeightIG[IG],tbl_safeguardWeightIG[Weight]),"")</f>
        <v>0.75</v>
      </c>
      <c r="K83" s="8" cm="1">
        <f t="array" aca="1" ref="K8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84" spans="1:11" ht="75">
      <c r="A84" t="str">
        <f>tbl_REF_CIS_Safeguards[[#This Row],[SafeguardID]]</f>
        <v>10.05</v>
      </c>
      <c r="B84">
        <f>tbl_REF_CIS_Safeguards[[#This Row],[ControlID]]</f>
        <v>10</v>
      </c>
      <c r="C84" s="8" t="str" cm="1">
        <f t="array" aca="1" ref="C84" ca="1">_xlfn.XLOOKUP(tbl_Safeguards[[#This Row],[ControlID]],tbl_REF_CIS_Controls[ControlID],INDIRECT("tbl_REF_CIS_Controls[ControlName"&amp;DocumentLanguage&amp;"]"))</f>
        <v>Défenses contre les logiciels malveillants</v>
      </c>
      <c r="D84" s="8" t="str" cm="1">
        <f t="array" aca="1" ref="D84" ca="1">INDIRECT("tbl_REF_CIS_Safeguards[@Title"&amp;DocumentLanguage&amp;"]")</f>
        <v>Activer les fonctions anti-exploitation</v>
      </c>
      <c r="E84" s="8" t="str" cm="1">
        <f t="array" aca="1" ref="E84" ca="1">INDIRECT("tbl_REF_CIS_Safeguards[@Description"&amp;DocumentLanguage&amp;"]")</f>
        <v>Activer les fonctions anti-exploitation sur les actifs et les logiciels de l'entreprise, dans la mesure du possible, telles que Microsoft® Data Execution Prevention (DEP), Windows® Defender Exploit Guard (WDEG), ou Apple® System Integrity Protégerion (SIP) et Gatekeeper™.</v>
      </c>
      <c r="F84" s="8" t="s">
        <v>117</v>
      </c>
      <c r="G84" t="s">
        <v>111</v>
      </c>
      <c r="H84" s="8" t="s">
        <v>138</v>
      </c>
      <c r="I84" s="92" cm="1">
        <f t="array" aca="1" ref="I84"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84" s="8">
        <f ca="1">IF(tbl_Safeguards[[#This Row],[En place
In place]]&lt;&gt;"N/A",_xlfn.XLOOKUP(tbl_Safeguards[[#This Row],[IG
IG]],tbl_safeguardWeightIG[IG],tbl_safeguardWeightIG[Weight]),"")</f>
        <v>0.75</v>
      </c>
      <c r="K84" s="8" cm="1">
        <f t="array" aca="1" ref="K8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85" spans="1:11" ht="30">
      <c r="A85" t="str">
        <f>tbl_REF_CIS_Safeguards[[#This Row],[SafeguardID]]</f>
        <v>10.06</v>
      </c>
      <c r="B85">
        <f>tbl_REF_CIS_Safeguards[[#This Row],[ControlID]]</f>
        <v>10</v>
      </c>
      <c r="C85" s="8" t="str" cm="1">
        <f t="array" aca="1" ref="C85" ca="1">_xlfn.XLOOKUP(tbl_Safeguards[[#This Row],[ControlID]],tbl_REF_CIS_Controls[ControlID],INDIRECT("tbl_REF_CIS_Controls[ControlName"&amp;DocumentLanguage&amp;"]"))</f>
        <v>Défenses contre les logiciels malveillants</v>
      </c>
      <c r="D85" s="8" t="str" cm="1">
        <f t="array" aca="1" ref="D85" ca="1">INDIRECT("tbl_REF_CIS_Safeguards[@Title"&amp;DocumentLanguage&amp;"]")</f>
        <v>Gestion centralisée des logiciels anti-malware</v>
      </c>
      <c r="E85" s="8" t="str" cm="1">
        <f t="array" aca="1" ref="E85" ca="1">INDIRECT("tbl_REF_CIS_Safeguards[@Description"&amp;DocumentLanguage&amp;"]")</f>
        <v>Gestion centralisée des logiciels anti-malware.</v>
      </c>
      <c r="F85" s="8" t="s">
        <v>117</v>
      </c>
      <c r="G85" t="s">
        <v>111</v>
      </c>
      <c r="H85" s="8"/>
      <c r="I85" s="92" cm="1">
        <f t="array" aca="1" ref="I85"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85" s="8">
        <f ca="1">IF(tbl_Safeguards[[#This Row],[En place
In place]]&lt;&gt;"N/A",_xlfn.XLOOKUP(tbl_Safeguards[[#This Row],[IG
IG]],tbl_safeguardWeightIG[IG],tbl_safeguardWeightIG[Weight]),"")</f>
        <v>0.75</v>
      </c>
      <c r="K85" s="8" cm="1">
        <f t="array" aca="1" ref="K8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86" spans="1:11" ht="30">
      <c r="A86" t="str">
        <f>tbl_REF_CIS_Safeguards[[#This Row],[SafeguardID]]</f>
        <v>10.07</v>
      </c>
      <c r="B86">
        <f>tbl_REF_CIS_Safeguards[[#This Row],[ControlID]]</f>
        <v>10</v>
      </c>
      <c r="C86" s="8" t="str" cm="1">
        <f t="array" aca="1" ref="C86" ca="1">_xlfn.XLOOKUP(tbl_Safeguards[[#This Row],[ControlID]],tbl_REF_CIS_Controls[ControlID],INDIRECT("tbl_REF_CIS_Controls[ControlName"&amp;DocumentLanguage&amp;"]"))</f>
        <v>Défenses contre les logiciels malveillants</v>
      </c>
      <c r="D86" s="8" t="str" cm="1">
        <f t="array" aca="1" ref="D86" ca="1">INDIRECT("tbl_REF_CIS_Safeguards[@Title"&amp;DocumentLanguage&amp;"]")</f>
        <v>Utiliser un logiciel anti-programmes malveillants basé sur le comportement</v>
      </c>
      <c r="E86" s="8" t="str" cm="1">
        <f t="array" aca="1" ref="E86" ca="1">INDIRECT("tbl_REF_CIS_Safeguards[@Description"&amp;DocumentLanguage&amp;"]")</f>
        <v>Utiliser un logiciel anti-malware basé sur le comportement.</v>
      </c>
      <c r="F86" s="8" t="s">
        <v>117</v>
      </c>
      <c r="G86" t="s">
        <v>111</v>
      </c>
      <c r="H86" s="104" t="s">
        <v>139</v>
      </c>
      <c r="I86" s="92" cm="1">
        <f t="array" aca="1" ref="I86"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86" s="8">
        <f ca="1">IF(tbl_Safeguards[[#This Row],[En place
In place]]&lt;&gt;"N/A",_xlfn.XLOOKUP(tbl_Safeguards[[#This Row],[IG
IG]],tbl_safeguardWeightIG[IG],tbl_safeguardWeightIG[Weight]),"")</f>
        <v>0.75</v>
      </c>
      <c r="K86" s="8" cm="1">
        <f t="array" aca="1" ref="K8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87" spans="1:11" ht="120">
      <c r="A87" t="str">
        <f>tbl_REF_CIS_Safeguards[[#This Row],[SafeguardID]]</f>
        <v>11.01</v>
      </c>
      <c r="B87">
        <f>tbl_REF_CIS_Safeguards[[#This Row],[ControlID]]</f>
        <v>11</v>
      </c>
      <c r="C87" s="8" t="str" cm="1">
        <f t="array" aca="1" ref="C87" ca="1">_xlfn.XLOOKUP(tbl_Safeguards[[#This Row],[ControlID]],tbl_REF_CIS_Controls[ControlID],INDIRECT("tbl_REF_CIS_Controls[ControlName"&amp;DocumentLanguage&amp;"]"))</f>
        <v>Récupération des données</v>
      </c>
      <c r="D87" s="8" t="str" cm="1">
        <f t="array" aca="1" ref="D87" ca="1">INDIRECT("tbl_REF_CIS_Safeguards[@Title"&amp;DocumentLanguage&amp;"]")</f>
        <v>Établir et maintenir un processus de récupération des données</v>
      </c>
      <c r="E87" s="8" t="str" cm="1">
        <f t="array" aca="1" ref="E87" ca="1">INDIRECT("tbl_REF_CIS_Safeguards[@Description"&amp;DocumentLanguage&amp;"]")</f>
        <v>Établir et maintenir un processus documenté de récupération des données. Dans le cadre de ce processus, il convient de définir l'étendue des activités de récupération des données, l'ordre de priorité de la récupération et la sécurité des données de sauvegarde. Réviser et mettre à jour la documentation chaque année, ou lorsque des changements importants interviennent dans l'entreprise et pourraient avoir une incidence sur cette mesure de sauvegarde.</v>
      </c>
      <c r="F87" s="8" t="s">
        <v>117</v>
      </c>
      <c r="G87" t="s">
        <v>106</v>
      </c>
      <c r="H87" s="8" t="s">
        <v>136</v>
      </c>
      <c r="I87" s="92" cm="1">
        <f t="array" aca="1" ref="I87"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87" s="8">
        <f ca="1">IF(tbl_Safeguards[[#This Row],[En place
In place]]&lt;&gt;"N/A",_xlfn.XLOOKUP(tbl_Safeguards[[#This Row],[IG
IG]],tbl_safeguardWeightIG[IG],tbl_safeguardWeightIG[Weight]),"")</f>
        <v>1</v>
      </c>
      <c r="K87" s="8" cm="1">
        <f t="array" aca="1" ref="K8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88" spans="1:11" ht="45">
      <c r="A88" t="str">
        <f>tbl_REF_CIS_Safeguards[[#This Row],[SafeguardID]]</f>
        <v>11.02</v>
      </c>
      <c r="B88">
        <f>tbl_REF_CIS_Safeguards[[#This Row],[ControlID]]</f>
        <v>11</v>
      </c>
      <c r="C88" s="8" t="str" cm="1">
        <f t="array" aca="1" ref="C88" ca="1">_xlfn.XLOOKUP(tbl_Safeguards[[#This Row],[ControlID]],tbl_REF_CIS_Controls[ControlID],INDIRECT("tbl_REF_CIS_Controls[ControlName"&amp;DocumentLanguage&amp;"]"))</f>
        <v>Récupération des données</v>
      </c>
      <c r="D88" s="8" t="str" cm="1">
        <f t="array" aca="1" ref="D88" ca="1">INDIRECT("tbl_REF_CIS_Safeguards[@Title"&amp;DocumentLanguage&amp;"]")</f>
        <v>Effectuer des sauvegardes automatisées</v>
      </c>
      <c r="E88" s="8" t="str" cm="1">
        <f t="array" aca="1" ref="E88" ca="1">INDIRECT("tbl_REF_CIS_Safeguards[@Description"&amp;DocumentLanguage&amp;"]")</f>
        <v>Effectuer des sauvegardes automatisées des actifs de l'entreprise concernés. Effectuer des sauvegardes hebdomadaires, ou plus fréquemment, en fonction de la sensibilité des données.</v>
      </c>
      <c r="F88" s="8" t="s">
        <v>117</v>
      </c>
      <c r="G88" t="s">
        <v>17</v>
      </c>
      <c r="H88" s="8" t="s">
        <v>140</v>
      </c>
      <c r="I88" s="92" cm="1">
        <f t="array" aca="1" ref="I88"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88" s="8">
        <f ca="1">IF(tbl_Safeguards[[#This Row],[En place
In place]]&lt;&gt;"N/A",_xlfn.XLOOKUP(tbl_Safeguards[[#This Row],[IG
IG]],tbl_safeguardWeightIG[IG],tbl_safeguardWeightIG[Weight]),"")</f>
        <v>1</v>
      </c>
      <c r="K88" s="8" cm="1">
        <f t="array" aca="1" ref="K8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89" spans="1:11" ht="45" hidden="1">
      <c r="A89" t="str">
        <f>tbl_REF_CIS_Safeguards[[#This Row],[SafeguardID]]</f>
        <v>11.03</v>
      </c>
      <c r="B89">
        <f>tbl_REF_CIS_Safeguards[[#This Row],[ControlID]]</f>
        <v>11</v>
      </c>
      <c r="C89" s="8" t="str" cm="1">
        <f t="array" aca="1" ref="C89" ca="1">_xlfn.XLOOKUP(tbl_Safeguards[[#This Row],[ControlID]],tbl_REF_CIS_Controls[ControlID],INDIRECT("tbl_REF_CIS_Controls[ControlName"&amp;DocumentLanguage&amp;"]"))</f>
        <v>Récupération des données</v>
      </c>
      <c r="D89" s="8" t="str" cm="1">
        <f t="array" aca="1" ref="D89" ca="1">INDIRECT("tbl_REF_CIS_Safeguards[@Title"&amp;DocumentLanguage&amp;"]")</f>
        <v>Protéger les données de récupération</v>
      </c>
      <c r="E89" s="8" t="str" cm="1">
        <f t="array" aca="1" ref="E89" ca="1">INDIRECT("tbl_REF_CIS_Safeguards[@Description"&amp;DocumentLanguage&amp;"]")</f>
        <v>Protéger les données de récupération par des contrôles équivalents aux données d'origine. Cryptage de référence ou séparation des données, en fonction des besoins.</v>
      </c>
      <c r="F89" s="8"/>
      <c r="G89" t="s">
        <v>17</v>
      </c>
      <c r="H89" s="8" t="s">
        <v>140</v>
      </c>
      <c r="I89" s="92" cm="1">
        <f t="array" aca="1" ref="I89"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89" s="8">
        <f ca="1">IF(tbl_Safeguards[[#This Row],[En place
In place]]&lt;&gt;"N/A",_xlfn.XLOOKUP(tbl_Safeguards[[#This Row],[IG
IG]],tbl_safeguardWeightIG[IG],tbl_safeguardWeightIG[Weight]),"")</f>
        <v>1</v>
      </c>
      <c r="K89" s="8" cm="1">
        <f t="array" aca="1" ref="K8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90" spans="1:11" ht="60">
      <c r="A90" t="str">
        <f>tbl_REF_CIS_Safeguards[[#This Row],[SafeguardID]]</f>
        <v>11.04</v>
      </c>
      <c r="B90">
        <f>tbl_REF_CIS_Safeguards[[#This Row],[ControlID]]</f>
        <v>11</v>
      </c>
      <c r="C90" s="8" t="str" cm="1">
        <f t="array" aca="1" ref="C90" ca="1">_xlfn.XLOOKUP(tbl_Safeguards[[#This Row],[ControlID]],tbl_REF_CIS_Controls[ControlID],INDIRECT("tbl_REF_CIS_Controls[ControlName"&amp;DocumentLanguage&amp;"]"))</f>
        <v>Récupération des données</v>
      </c>
      <c r="D90" s="8" t="str" cm="1">
        <f t="array" aca="1" ref="D90" ca="1">INDIRECT("tbl_REF_CIS_Safeguards[@Title"&amp;DocumentLanguage&amp;"]")</f>
        <v>Établir et maintenir une instance isolée de données de récupération</v>
      </c>
      <c r="E90" s="8" t="str" cm="1">
        <f t="array" aca="1" ref="E90" ca="1">INDIRECT("tbl_REF_CIS_Safeguards[@Description"&amp;DocumentLanguage&amp;"]")</f>
        <v>Établir et maintenir une instance isolée des données de récupération. Les exemples de mise en œuvre comprennent le contrôle des versions des destinations de sauvegarde par le biais de systèmes ou de services hors ligne, dans le nuage ou hors site.</v>
      </c>
      <c r="F90" s="8" t="s">
        <v>117</v>
      </c>
      <c r="G90" t="s">
        <v>111</v>
      </c>
      <c r="H90" s="8" t="s">
        <v>140</v>
      </c>
      <c r="I90" s="92" cm="1">
        <f t="array" aca="1" ref="I90"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90" s="8">
        <f ca="1">IF(tbl_Safeguards[[#This Row],[En place
In place]]&lt;&gt;"N/A",_xlfn.XLOOKUP(tbl_Safeguards[[#This Row],[IG
IG]],tbl_safeguardWeightIG[IG],tbl_safeguardWeightIG[Weight]),"")</f>
        <v>1</v>
      </c>
      <c r="K90" s="8" cm="1">
        <f t="array" aca="1" ref="K9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91" spans="1:11" ht="45">
      <c r="A91" t="str">
        <f>tbl_REF_CIS_Safeguards[[#This Row],[SafeguardID]]</f>
        <v>11.05</v>
      </c>
      <c r="B91">
        <f>tbl_REF_CIS_Safeguards[[#This Row],[ControlID]]</f>
        <v>11</v>
      </c>
      <c r="C91" s="8" t="str" cm="1">
        <f t="array" aca="1" ref="C91" ca="1">_xlfn.XLOOKUP(tbl_Safeguards[[#This Row],[ControlID]],tbl_REF_CIS_Controls[ControlID],INDIRECT("tbl_REF_CIS_Controls[ControlName"&amp;DocumentLanguage&amp;"]"))</f>
        <v>Récupération des données</v>
      </c>
      <c r="D91" s="8" t="str" cm="1">
        <f t="array" aca="1" ref="D91" ca="1">INDIRECT("tbl_REF_CIS_Safeguards[@Title"&amp;DocumentLanguage&amp;"]")</f>
        <v>Tester la Récupération de données</v>
      </c>
      <c r="E91" s="8" t="str" cm="1">
        <f t="array" aca="1" ref="E91" ca="1">INDIRECT("tbl_REF_CIS_Safeguards[@Description"&amp;DocumentLanguage&amp;"]")</f>
        <v>Tester la restauration des sauvegardes tous les trimestres, ou plus fréquemment, pour un échantillon d'actifs de l'entreprise entrant dans le champ d'application.</v>
      </c>
      <c r="F91" s="8" t="s">
        <v>117</v>
      </c>
      <c r="G91" t="s">
        <v>111</v>
      </c>
      <c r="H91" s="8" t="s">
        <v>140</v>
      </c>
      <c r="I91" s="92" cm="1">
        <f t="array" aca="1" ref="I91"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91" s="8">
        <f ca="1">IF(tbl_Safeguards[[#This Row],[En place
In place]]&lt;&gt;"N/A",_xlfn.XLOOKUP(tbl_Safeguards[[#This Row],[IG
IG]],tbl_safeguardWeightIG[IG],tbl_safeguardWeightIG[Weight]),"")</f>
        <v>0.75</v>
      </c>
      <c r="K91" s="8" cm="1">
        <f t="array" aca="1" ref="K9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92" spans="1:11" ht="90">
      <c r="A92" t="str">
        <f>tbl_REF_CIS_Safeguards[[#This Row],[SafeguardID]]</f>
        <v>12.01</v>
      </c>
      <c r="B92">
        <f>tbl_REF_CIS_Safeguards[[#This Row],[ControlID]]</f>
        <v>12</v>
      </c>
      <c r="C92" s="8" t="str" cm="1">
        <f t="array" aca="1" ref="C92" ca="1">_xlfn.XLOOKUP(tbl_Safeguards[[#This Row],[ControlID]],tbl_REF_CIS_Controls[ControlID],INDIRECT("tbl_REF_CIS_Controls[ControlName"&amp;DocumentLanguage&amp;"]"))</f>
        <v>Gestion de l'infrastructure du réseau</v>
      </c>
      <c r="D92" s="8" t="str" cm="1">
        <f t="array" aca="1" ref="D92" ca="1">INDIRECT("tbl_REF_CIS_Safeguards[@Title"&amp;DocumentLanguage&amp;"]")</f>
        <v>S'assurer que l'infrastructure du réseau est à jour</v>
      </c>
      <c r="E92" s="8" t="str" cm="1">
        <f t="array" aca="1" ref="E92" ca="1">INDIRECT("tbl_REF_CIS_Safeguards[@Description"&amp;DocumentLanguage&amp;"]")</f>
        <v>Veiller à ce que l'infrastructure du réseau soit maintenue à jour. Les exemples de mise en œuvre comprennent l'exécution de la dernière version stable du logiciel et/ou l'utilisation d'offres de réseau en tant que service (NaaS) actuellement prises en charge. Examiner les versions des logiciels tous les mois, ou plus fréquemment, pour vérifier qu'ils sont bien pris en charge.</v>
      </c>
      <c r="F92" s="8" t="s">
        <v>117</v>
      </c>
      <c r="G92" t="s">
        <v>111</v>
      </c>
      <c r="H92" s="8"/>
      <c r="I92" s="92" cm="1">
        <f t="array" aca="1" ref="I92"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92" s="8">
        <f ca="1">IF(tbl_Safeguards[[#This Row],[En place
In place]]&lt;&gt;"N/A",_xlfn.XLOOKUP(tbl_Safeguards[[#This Row],[IG
IG]],tbl_safeguardWeightIG[IG],tbl_safeguardWeightIG[Weight]),"")</f>
        <v>1</v>
      </c>
      <c r="K92" s="8" cm="1">
        <f t="array" aca="1" ref="K9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93" spans="1:11" ht="90">
      <c r="A93" t="str">
        <f>tbl_REF_CIS_Safeguards[[#This Row],[SafeguardID]]</f>
        <v>12.02</v>
      </c>
      <c r="B93">
        <f>tbl_REF_CIS_Safeguards[[#This Row],[ControlID]]</f>
        <v>12</v>
      </c>
      <c r="C93" s="8" t="str" cm="1">
        <f t="array" aca="1" ref="C93" ca="1">_xlfn.XLOOKUP(tbl_Safeguards[[#This Row],[ControlID]],tbl_REF_CIS_Controls[ControlID],INDIRECT("tbl_REF_CIS_Controls[ControlName"&amp;DocumentLanguage&amp;"]"))</f>
        <v>Gestion de l'infrastructure du réseau</v>
      </c>
      <c r="D93" s="8" t="str" cm="1">
        <f t="array" aca="1" ref="D93" ca="1">INDIRECT("tbl_REF_CIS_Safeguards[@Title"&amp;DocumentLanguage&amp;"]")</f>
        <v>Établir et maintenir une architecture de réseau sécurisée</v>
      </c>
      <c r="E93" s="8" t="str" cm="1">
        <f t="array" aca="1" ref="E93" ca="1">INDIRECT("tbl_REF_CIS_Safeguards[@Description"&amp;DocumentLanguage&amp;"]")</f>
        <v>Concevoir et maintenir une architecture de réseau sécurisée. Une architecture de réseau sécurisée doit au moins prendre en compte la segmentation, le moindre privilège et la disponibilité. Les exemples de mise en œuvre ne comprendront pas uniquement de la documentation, mais aussi des éléments de politique et de conception.</v>
      </c>
      <c r="F93" s="8" t="s">
        <v>117</v>
      </c>
      <c r="G93" t="s">
        <v>111</v>
      </c>
      <c r="H93" s="8"/>
      <c r="I93" s="92" cm="1">
        <f t="array" aca="1" ref="I93"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93" s="8">
        <f ca="1">IF(tbl_Safeguards[[#This Row],[En place
In place]]&lt;&gt;"N/A",_xlfn.XLOOKUP(tbl_Safeguards[[#This Row],[IG
IG]],tbl_safeguardWeightIG[IG],tbl_safeguardWeightIG[Weight]),"")</f>
        <v>0.75</v>
      </c>
      <c r="K93" s="8" cm="1">
        <f t="array" aca="1" ref="K9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94" spans="1:11" ht="60">
      <c r="A94" t="str">
        <f>tbl_REF_CIS_Safeguards[[#This Row],[SafeguardID]]</f>
        <v>12.03</v>
      </c>
      <c r="B94">
        <f>tbl_REF_CIS_Safeguards[[#This Row],[ControlID]]</f>
        <v>12</v>
      </c>
      <c r="C94" s="8" t="str" cm="1">
        <f t="array" aca="1" ref="C94" ca="1">_xlfn.XLOOKUP(tbl_Safeguards[[#This Row],[ControlID]],tbl_REF_CIS_Controls[ControlID],INDIRECT("tbl_REF_CIS_Controls[ControlName"&amp;DocumentLanguage&amp;"]"))</f>
        <v>Gestion de l'infrastructure du réseau</v>
      </c>
      <c r="D94" s="8" t="str" cm="1">
        <f t="array" aca="1" ref="D94" ca="1">INDIRECT("tbl_REF_CIS_Safeguards[@Title"&amp;DocumentLanguage&amp;"]")</f>
        <v>Gérer l'infrastructure du réseau en toute sécurité</v>
      </c>
      <c r="E94" s="8" t="str" cm="1">
        <f t="array" aca="1" ref="E94" ca="1">INDIRECT("tbl_REF_CIS_Safeguards[@Description"&amp;DocumentLanguage&amp;"]")</f>
        <v>Gérer en toute sécurité l'infrastructure du réseau. Les exemples de mise en œuvre comprennent l'Infrastructure-as-Code (IaC) avec contrôle de version et l'utilisation de protocoles réseau sécurisés, tels que SSH et HTTPS.</v>
      </c>
      <c r="F94" s="8" t="s">
        <v>117</v>
      </c>
      <c r="G94" t="s">
        <v>111</v>
      </c>
      <c r="H94" s="8"/>
      <c r="I94" s="92" cm="1">
        <f t="array" aca="1" ref="I94"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94" s="8">
        <f ca="1">IF(tbl_Safeguards[[#This Row],[En place
In place]]&lt;&gt;"N/A",_xlfn.XLOOKUP(tbl_Safeguards[[#This Row],[IG
IG]],tbl_safeguardWeightIG[IG],tbl_safeguardWeightIG[Weight]),"")</f>
        <v>0.75</v>
      </c>
      <c r="K94" s="8" cm="1">
        <f t="array" aca="1" ref="K9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95" spans="1:11" ht="90">
      <c r="A95" t="str">
        <f>tbl_REF_CIS_Safeguards[[#This Row],[SafeguardID]]</f>
        <v>12.04</v>
      </c>
      <c r="B95">
        <f>tbl_REF_CIS_Safeguards[[#This Row],[ControlID]]</f>
        <v>12</v>
      </c>
      <c r="C95" s="8" t="str" cm="1">
        <f t="array" aca="1" ref="C95" ca="1">_xlfn.XLOOKUP(tbl_Safeguards[[#This Row],[ControlID]],tbl_REF_CIS_Controls[ControlID],INDIRECT("tbl_REF_CIS_Controls[ControlName"&amp;DocumentLanguage&amp;"]"))</f>
        <v>Gestion de l'infrastructure du réseau</v>
      </c>
      <c r="D95" s="8" t="str" cm="1">
        <f t="array" aca="1" ref="D95" ca="1">INDIRECT("tbl_REF_CIS_Safeguards[@Title"&amp;DocumentLanguage&amp;"]")</f>
        <v>Établir et tenir à jour le(s) diagramme(s) d'architecture</v>
      </c>
      <c r="E95" s="8" t="str" cm="1">
        <f t="array" aca="1" ref="E95" ca="1">INDIRECT("tbl_REF_CIS_Safeguards[@Description"&amp;DocumentLanguage&amp;"]")</f>
        <v>Établir et tenir à jour le(s) diagramme(s) d'architecture et/ou d'autres documents relatifs au système de réseau. Examiner et mettre à jour la documentation chaque année, ou lorsque des changements importants interviennent dans l'entreprise et pourraient avoir une incidence sur la présente mesure de sauvegarde.</v>
      </c>
      <c r="F95" s="8" t="s">
        <v>117</v>
      </c>
      <c r="G95" t="s">
        <v>111</v>
      </c>
      <c r="H95" s="8"/>
      <c r="I95" s="92" cm="1">
        <f t="array" aca="1" ref="I95"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95" s="8">
        <f ca="1">IF(tbl_Safeguards[[#This Row],[En place
In place]]&lt;&gt;"N/A",_xlfn.XLOOKUP(tbl_Safeguards[[#This Row],[IG
IG]],tbl_safeguardWeightIG[IG],tbl_safeguardWeightIG[Weight]),"")</f>
        <v>0.75</v>
      </c>
      <c r="K95" s="8" cm="1">
        <f t="array" aca="1" ref="K9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96" spans="1:11" ht="45">
      <c r="A96" t="str">
        <f>tbl_REF_CIS_Safeguards[[#This Row],[SafeguardID]]</f>
        <v>12.05</v>
      </c>
      <c r="B96">
        <f>tbl_REF_CIS_Safeguards[[#This Row],[ControlID]]</f>
        <v>12</v>
      </c>
      <c r="C96" s="8" t="str" cm="1">
        <f t="array" aca="1" ref="C96" ca="1">_xlfn.XLOOKUP(tbl_Safeguards[[#This Row],[ControlID]],tbl_REF_CIS_Controls[ControlID],INDIRECT("tbl_REF_CIS_Controls[ControlName"&amp;DocumentLanguage&amp;"]"))</f>
        <v>Gestion de l'infrastructure du réseau</v>
      </c>
      <c r="D96" s="8" t="str" cm="1">
        <f t="array" aca="1" ref="D96" ca="1">INDIRECT("tbl_REF_CIS_Safeguards[@Title"&amp;DocumentLanguage&amp;"]")</f>
        <v>Centraliser l'authentification, l'autorisation et l'audit du réseau (Authentication, Authorization, and Auditing (AAA))</v>
      </c>
      <c r="E96" s="8" t="str" cm="1">
        <f t="array" aca="1" ref="E96" ca="1">INDIRECT("tbl_REF_CIS_Safeguards[@Description"&amp;DocumentLanguage&amp;"]")</f>
        <v>Centraliser l'AAA du réseau.</v>
      </c>
      <c r="F96" s="8" t="s">
        <v>117</v>
      </c>
      <c r="G96" t="s">
        <v>111</v>
      </c>
      <c r="H96" s="8"/>
      <c r="I96" s="92" cm="1">
        <f t="array" aca="1" ref="I96"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96" s="8">
        <f ca="1">IF(tbl_Safeguards[[#This Row],[En place
In place]]&lt;&gt;"N/A",_xlfn.XLOOKUP(tbl_Safeguards[[#This Row],[IG
IG]],tbl_safeguardWeightIG[IG],tbl_safeguardWeightIG[Weight]),"")</f>
        <v>0.75</v>
      </c>
      <c r="K96" s="8" cm="1">
        <f t="array" aca="1" ref="K9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97" spans="1:11" ht="45">
      <c r="A97" t="str">
        <f>tbl_REF_CIS_Safeguards[[#This Row],[SafeguardID]]</f>
        <v>12.06</v>
      </c>
      <c r="B97">
        <f>tbl_REF_CIS_Safeguards[[#This Row],[ControlID]]</f>
        <v>12</v>
      </c>
      <c r="C97" s="8" t="str" cm="1">
        <f t="array" aca="1" ref="C97" ca="1">_xlfn.XLOOKUP(tbl_Safeguards[[#This Row],[ControlID]],tbl_REF_CIS_Controls[ControlID],INDIRECT("tbl_REF_CIS_Controls[ControlName"&amp;DocumentLanguage&amp;"]"))</f>
        <v>Gestion de l'infrastructure du réseau</v>
      </c>
      <c r="D97" s="8" t="str" cm="1">
        <f t="array" aca="1" ref="D97" ca="1">INDIRECT("tbl_REF_CIS_Safeguards[@Title"&amp;DocumentLanguage&amp;"]")</f>
        <v>Utilisation de protocoles de gestion et de communication de réseaux sécurisés</v>
      </c>
      <c r="E97" s="8" t="str" cm="1">
        <f t="array" aca="1" ref="E97" ca="1">INDIRECT("tbl_REF_CIS_Safeguards[@Description"&amp;DocumentLanguage&amp;"]")</f>
        <v>Utiliser des protocoles de gestion de réseau et de communication sécurisés (par exemple, 802.1X, Wi-Fi Protégered Access 2 (WPA2) Enterprise ou supérieur).</v>
      </c>
      <c r="F97" s="8" t="s">
        <v>117</v>
      </c>
      <c r="G97" t="s">
        <v>107</v>
      </c>
      <c r="H97" s="8"/>
      <c r="I97" s="92" cm="1">
        <f t="array" aca="1" ref="I97"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97" s="8" t="str">
        <f ca="1">IF(tbl_Safeguards[[#This Row],[En place
In place]]&lt;&gt;"N/A",_xlfn.XLOOKUP(tbl_Safeguards[[#This Row],[IG
IG]],tbl_safeguardWeightIG[IG],tbl_safeguardWeightIG[Weight]),"")</f>
        <v/>
      </c>
      <c r="K97" s="8" t="str" cm="1">
        <f t="array" aca="1" ref="K9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98" spans="1:11" ht="45">
      <c r="A98" t="str">
        <f>tbl_REF_CIS_Safeguards[[#This Row],[SafeguardID]]</f>
        <v>12.07</v>
      </c>
      <c r="B98">
        <f>tbl_REF_CIS_Safeguards[[#This Row],[ControlID]]</f>
        <v>12</v>
      </c>
      <c r="C98" s="8" t="str" cm="1">
        <f t="array" aca="1" ref="C98" ca="1">_xlfn.XLOOKUP(tbl_Safeguards[[#This Row],[ControlID]],tbl_REF_CIS_Controls[ControlID],INDIRECT("tbl_REF_CIS_Controls[ControlName"&amp;DocumentLanguage&amp;"]"))</f>
        <v>Gestion de l'infrastructure du réseau</v>
      </c>
      <c r="D98" s="8" t="str" cm="1">
        <f t="array" aca="1" ref="D98" ca="1">INDIRECT("tbl_REF_CIS_Safeguards[@Title"&amp;DocumentLanguage&amp;"]")</f>
        <v>S'assurer que les appareils distants utilisent un VPN et se connectent à l'infrastructure AAA de l'entreprise</v>
      </c>
      <c r="E98" s="8" t="str" cm="1">
        <f t="array" aca="1" ref="E98" ca="1">INDIRECT("tbl_REF_CIS_Safeguards[@Description"&amp;DocumentLanguage&amp;"]")</f>
        <v>Exiger des utilisateurs qu'ils s'authentifient auprès des services VPN et d'authentification gérés par l'entreprise avant d'accéder aux ressources de l'entreprise sur les appareils des utilisateurs finaux.</v>
      </c>
      <c r="F98" s="8" t="s">
        <v>117</v>
      </c>
      <c r="G98" t="s">
        <v>111</v>
      </c>
      <c r="H98" s="8"/>
      <c r="I98" s="92" cm="1">
        <f t="array" aca="1" ref="I98"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98" s="8">
        <f ca="1">IF(tbl_Safeguards[[#This Row],[En place
In place]]&lt;&gt;"N/A",_xlfn.XLOOKUP(tbl_Safeguards[[#This Row],[IG
IG]],tbl_safeguardWeightIG[IG],tbl_safeguardWeightIG[Weight]),"")</f>
        <v>0.75</v>
      </c>
      <c r="K98" s="8" cm="1">
        <f t="array" aca="1" ref="K9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99" spans="1:11" ht="90">
      <c r="A99" t="str">
        <f>tbl_REF_CIS_Safeguards[[#This Row],[SafeguardID]]</f>
        <v>12.08</v>
      </c>
      <c r="B99">
        <f>tbl_REF_CIS_Safeguards[[#This Row],[ControlID]]</f>
        <v>12</v>
      </c>
      <c r="C99" s="8" t="str" cm="1">
        <f t="array" aca="1" ref="C99" ca="1">_xlfn.XLOOKUP(tbl_Safeguards[[#This Row],[ControlID]],tbl_REF_CIS_Controls[ControlID],INDIRECT("tbl_REF_CIS_Controls[ControlName"&amp;DocumentLanguage&amp;"]"))</f>
        <v>Gestion de l'infrastructure du réseau</v>
      </c>
      <c r="D99" s="8" t="str" cm="1">
        <f t="array" aca="1" ref="D99" ca="1">INDIRECT("tbl_REF_CIS_Safeguards[@Title"&amp;DocumentLanguage&amp;"]")</f>
        <v>Mettre en place et maintenir des ressources informatiques dédiées à l'ensemble du travail administratif</v>
      </c>
      <c r="E99" s="8" t="str" cm="1">
        <f t="array" aca="1" ref="E99" ca="1">INDIRECT("tbl_REF_CIS_Safeguards[@Description"&amp;DocumentLanguage&amp;"]")</f>
        <v>Mettre en place et maintenir des ressources informatiques dédiées, physiquement ou logiquement séparées, pour toutes les tâches administratives ou nécessitant un accès administratif. Ces ressources informatiques doivent être séparées du réseau principal de l'entreprise et ne doivent pas être autorisées à accéder à l'internet.</v>
      </c>
      <c r="F99" s="8" t="s">
        <v>117</v>
      </c>
      <c r="G99" t="s">
        <v>111</v>
      </c>
      <c r="H99" s="8"/>
      <c r="I99" s="92" cm="1">
        <f t="array" aca="1" ref="I99"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99" s="8">
        <f ca="1">IF(tbl_Safeguards[[#This Row],[En place
In place]]&lt;&gt;"N/A",_xlfn.XLOOKUP(tbl_Safeguards[[#This Row],[IG
IG]],tbl_safeguardWeightIG[IG],tbl_safeguardWeightIG[Weight]),"")</f>
        <v>0.5</v>
      </c>
      <c r="K99" s="8" cm="1">
        <f t="array" aca="1" ref="K9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0.5</v>
      </c>
    </row>
    <row r="100" spans="1:11" ht="120">
      <c r="A100" t="str">
        <f>tbl_REF_CIS_Safeguards[[#This Row],[SafeguardID]]</f>
        <v>13.01</v>
      </c>
      <c r="B100">
        <f>tbl_REF_CIS_Safeguards[[#This Row],[ControlID]]</f>
        <v>13</v>
      </c>
      <c r="C100" s="8" t="str" cm="1">
        <f t="array" aca="1" ref="C100" ca="1">_xlfn.XLOOKUP(tbl_Safeguards[[#This Row],[ControlID]],tbl_REF_CIS_Controls[ControlID],INDIRECT("tbl_REF_CIS_Controls[ControlName"&amp;DocumentLanguage&amp;"]"))</f>
        <v>Surveillance et défense des réseaux</v>
      </c>
      <c r="D100" s="8" t="str" cm="1">
        <f t="array" aca="1" ref="D100" ca="1">INDIRECT("tbl_REF_CIS_Safeguards[@Title"&amp;DocumentLanguage&amp;"]")</f>
        <v>Centraliser les alertes sur les événements de sécurité</v>
      </c>
      <c r="E100" s="8" t="str" cm="1">
        <f t="array" aca="1" ref="E100" ca="1">INDIRECT("tbl_REF_CIS_Safeguards[@Description"&amp;DocumentLanguage&amp;"]")</f>
        <v>Centraliser les alertes d'événements de sécurité sur l'ensemble des actifs de l'entreprise pour la corrélation et l'analyse des journaux. La mise en œuvre des meilleures pratiques nécessite l'utilisation d'un SIEM, qui comprend des alertes de corrélation d'événements définies par le fournisseur. Une plate-forme d'analyse des journaux configurée avec des alertes de corrélation pertinentes pour la sécurité satisfait également à cette mesure de sauvegarde.</v>
      </c>
      <c r="F100" s="8" t="s">
        <v>117</v>
      </c>
      <c r="G100" t="s">
        <v>111</v>
      </c>
      <c r="H100" s="8"/>
      <c r="I100" s="92" cm="1">
        <f t="array" aca="1" ref="I100"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00" s="8">
        <f ca="1">IF(tbl_Safeguards[[#This Row],[En place
In place]]&lt;&gt;"N/A",_xlfn.XLOOKUP(tbl_Safeguards[[#This Row],[IG
IG]],tbl_safeguardWeightIG[IG],tbl_safeguardWeightIG[Weight]),"")</f>
        <v>0.75</v>
      </c>
      <c r="K100" s="8" cm="1">
        <f t="array" aca="1" ref="K10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01" spans="1:11" ht="45">
      <c r="A101" t="str">
        <f>tbl_REF_CIS_Safeguards[[#This Row],[SafeguardID]]</f>
        <v>13.02</v>
      </c>
      <c r="B101">
        <f>tbl_REF_CIS_Safeguards[[#This Row],[ControlID]]</f>
        <v>13</v>
      </c>
      <c r="C101" s="8" t="str" cm="1">
        <f t="array" aca="1" ref="C101" ca="1">_xlfn.XLOOKUP(tbl_Safeguards[[#This Row],[ControlID]],tbl_REF_CIS_Controls[ControlID],INDIRECT("tbl_REF_CIS_Controls[ControlName"&amp;DocumentLanguage&amp;"]"))</f>
        <v>Surveillance et défense des réseaux</v>
      </c>
      <c r="D101" s="8" t="str" cm="1">
        <f t="array" aca="1" ref="D101" ca="1">INDIRECT("tbl_REF_CIS_Safeguards[@Title"&amp;DocumentLanguage&amp;"]")</f>
        <v>Déployer une solution de détection d'intrusion basée sur l'hôte</v>
      </c>
      <c r="E101" s="8" t="str" cm="1">
        <f t="array" aca="1" ref="E101" ca="1">INDIRECT("tbl_REF_CIS_Safeguards[@Description"&amp;DocumentLanguage&amp;"]")</f>
        <v>Déployer une solution de détection d'intrusion basée sur l'hôte sur les actifs de l'entreprise, lorsque cela est approprié et/ou pris en charge.</v>
      </c>
      <c r="F101" s="8" t="s">
        <v>117</v>
      </c>
      <c r="G101" t="s">
        <v>106</v>
      </c>
      <c r="H101" s="8"/>
      <c r="I101" s="92" cm="1">
        <f t="array" aca="1" ref="I101"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01" s="8">
        <f ca="1">IF(tbl_Safeguards[[#This Row],[En place
In place]]&lt;&gt;"N/A",_xlfn.XLOOKUP(tbl_Safeguards[[#This Row],[IG
IG]],tbl_safeguardWeightIG[IG],tbl_safeguardWeightIG[Weight]),"")</f>
        <v>0.75</v>
      </c>
      <c r="K101" s="8" cm="1">
        <f t="array" aca="1" ref="K10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102" spans="1:11" ht="75">
      <c r="A102" t="str">
        <f>tbl_REF_CIS_Safeguards[[#This Row],[SafeguardID]]</f>
        <v>13.03</v>
      </c>
      <c r="B102">
        <f>tbl_REF_CIS_Safeguards[[#This Row],[ControlID]]</f>
        <v>13</v>
      </c>
      <c r="C102" s="8" t="str" cm="1">
        <f t="array" aca="1" ref="C102" ca="1">_xlfn.XLOOKUP(tbl_Safeguards[[#This Row],[ControlID]],tbl_REF_CIS_Controls[ControlID],INDIRECT("tbl_REF_CIS_Controls[ControlName"&amp;DocumentLanguage&amp;"]"))</f>
        <v>Surveillance et défense des réseaux</v>
      </c>
      <c r="D102" s="8" t="str" cm="1">
        <f t="array" aca="1" ref="D102" ca="1">INDIRECT("tbl_REF_CIS_Safeguards[@Title"&amp;DocumentLanguage&amp;"]")</f>
        <v>Déployer une solution de détection des intrusions dans le réseau</v>
      </c>
      <c r="E102" s="8" t="str" cm="1">
        <f t="array" aca="1" ref="E102" ca="1">INDIRECT("tbl_REF_CIS_Safeguards[@Description"&amp;DocumentLanguage&amp;"]")</f>
        <v>Déployer une solution de détection des intrusions dans le réseau sur les actifs de l'entreprise, le cas échéant. Les exemples de mise en œuvre comprennent l'utilisation d'un système de détection des intrusions dans le réseau (NIDS) ou d'un service équivalent d'un fournisseur de services en nuage (CSP).</v>
      </c>
      <c r="F102" s="8" t="s">
        <v>117</v>
      </c>
      <c r="G102" t="s">
        <v>106</v>
      </c>
      <c r="H102" s="8"/>
      <c r="I102" s="92" cm="1">
        <f t="array" aca="1" ref="I102"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02" s="8">
        <f ca="1">IF(tbl_Safeguards[[#This Row],[En place
In place]]&lt;&gt;"N/A",_xlfn.XLOOKUP(tbl_Safeguards[[#This Row],[IG
IG]],tbl_safeguardWeightIG[IG],tbl_safeguardWeightIG[Weight]),"")</f>
        <v>0.75</v>
      </c>
      <c r="K102" s="8" cm="1">
        <f t="array" aca="1" ref="K10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103" spans="1:11" ht="30">
      <c r="A103" t="str">
        <f>tbl_REF_CIS_Safeguards[[#This Row],[SafeguardID]]</f>
        <v>13.04</v>
      </c>
      <c r="B103">
        <f>tbl_REF_CIS_Safeguards[[#This Row],[ControlID]]</f>
        <v>13</v>
      </c>
      <c r="C103" s="8" t="str" cm="1">
        <f t="array" aca="1" ref="C103" ca="1">_xlfn.XLOOKUP(tbl_Safeguards[[#This Row],[ControlID]],tbl_REF_CIS_Controls[ControlID],INDIRECT("tbl_REF_CIS_Controls[ControlName"&amp;DocumentLanguage&amp;"]"))</f>
        <v>Surveillance et défense des réseaux</v>
      </c>
      <c r="D103" s="8" t="str" cm="1">
        <f t="array" aca="1" ref="D103" ca="1">INDIRECT("tbl_REF_CIS_Safeguards[@Title"&amp;DocumentLanguage&amp;"]")</f>
        <v>Filtrage du trafic entre les segments du réseau</v>
      </c>
      <c r="E103" s="8" t="str" cm="1">
        <f t="array" aca="1" ref="E103" ca="1">INDIRECT("tbl_REF_CIS_Safeguards[@Description"&amp;DocumentLanguage&amp;"]")</f>
        <v>Effectuer un filtrage du trafic entre les segments du réseau, le cas échéant.</v>
      </c>
      <c r="F103" s="8" t="s">
        <v>117</v>
      </c>
      <c r="G103" t="s">
        <v>111</v>
      </c>
      <c r="H103" s="8"/>
      <c r="I103" s="92" cm="1">
        <f t="array" aca="1" ref="I103"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03" s="8">
        <f ca="1">IF(tbl_Safeguards[[#This Row],[En place
In place]]&lt;&gt;"N/A",_xlfn.XLOOKUP(tbl_Safeguards[[#This Row],[IG
IG]],tbl_safeguardWeightIG[IG],tbl_safeguardWeightIG[Weight]),"")</f>
        <v>0.75</v>
      </c>
      <c r="K103" s="8" cm="1">
        <f t="array" aca="1" ref="K10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04" spans="1:11" ht="105">
      <c r="A104" t="str">
        <f>tbl_REF_CIS_Safeguards[[#This Row],[SafeguardID]]</f>
        <v>13.05</v>
      </c>
      <c r="B104">
        <f>tbl_REF_CIS_Safeguards[[#This Row],[ControlID]]</f>
        <v>13</v>
      </c>
      <c r="C104" s="8" t="str" cm="1">
        <f t="array" aca="1" ref="C104" ca="1">_xlfn.XLOOKUP(tbl_Safeguards[[#This Row],[ControlID]],tbl_REF_CIS_Controls[ControlID],INDIRECT("tbl_REF_CIS_Controls[ControlName"&amp;DocumentLanguage&amp;"]"))</f>
        <v>Surveillance et défense des réseaux</v>
      </c>
      <c r="D104" s="8" t="str" cm="1">
        <f t="array" aca="1" ref="D104" ca="1">INDIRECT("tbl_REF_CIS_Safeguards[@Title"&amp;DocumentLanguage&amp;"]")</f>
        <v>Gérer le contrôle d'accès pour les biens distants</v>
      </c>
      <c r="E104" s="8" t="str" cm="1">
        <f t="array" aca="1" ref="E104" ca="1">INDIRECT("tbl_REF_CIS_Safeguards[@Description"&amp;DocumentLanguage&amp;"]")</f>
        <v>Gérer le contrôle d'accès des actifs se connectant à distance aux ressources de l'entreprise. Déterminer la quantité d'accès aux ressources de l'entreprise en fonction des éléments suivants : logiciel anti-malware installé à jour, conformité de la configuration avec le processus de configuration sécurisé de l'entreprise, et garantie que le système d'exploitation et les applications sont à jour.</v>
      </c>
      <c r="F104" s="8" t="s">
        <v>117</v>
      </c>
      <c r="G104" t="s">
        <v>111</v>
      </c>
      <c r="H104" s="8"/>
      <c r="I104" s="92" cm="1">
        <f t="array" aca="1" ref="I104"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04" s="8">
        <f ca="1">IF(tbl_Safeguards[[#This Row],[En place
In place]]&lt;&gt;"N/A",_xlfn.XLOOKUP(tbl_Safeguards[[#This Row],[IG
IG]],tbl_safeguardWeightIG[IG],tbl_safeguardWeightIG[Weight]),"")</f>
        <v>1</v>
      </c>
      <c r="K104" s="8" cm="1">
        <f t="array" aca="1" ref="K10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05" spans="1:11" ht="45">
      <c r="A105" t="str">
        <f>tbl_REF_CIS_Safeguards[[#This Row],[SafeguardID]]</f>
        <v>13.06</v>
      </c>
      <c r="B105">
        <f>tbl_REF_CIS_Safeguards[[#This Row],[ControlID]]</f>
        <v>13</v>
      </c>
      <c r="C105" s="8" t="str" cm="1">
        <f t="array" aca="1" ref="C105" ca="1">_xlfn.XLOOKUP(tbl_Safeguards[[#This Row],[ControlID]],tbl_REF_CIS_Controls[ControlID],INDIRECT("tbl_REF_CIS_Controls[ControlName"&amp;DocumentLanguage&amp;"]"))</f>
        <v>Surveillance et défense des réseaux</v>
      </c>
      <c r="D105" s="8" t="str" cm="1">
        <f t="array" aca="1" ref="D105" ca="1">INDIRECT("tbl_REF_CIS_Safeguards[@Title"&amp;DocumentLanguage&amp;"]")</f>
        <v>Collecter les journaux de flux de trafic du réseau</v>
      </c>
      <c r="E105" s="8" t="str" cm="1">
        <f t="array" aca="1" ref="E105" ca="1">INDIRECT("tbl_REF_CIS_Safeguards[@Description"&amp;DocumentLanguage&amp;"]")</f>
        <v>Collecter les journaux des flux de trafic du réseau et/ou le trafic du réseau afin de les examiner et de lancer des alertes sur les dispositifs du réseau.</v>
      </c>
      <c r="F105" s="8" t="s">
        <v>117</v>
      </c>
      <c r="G105" t="s">
        <v>17</v>
      </c>
      <c r="H105" s="8"/>
      <c r="I105" s="92" cm="1">
        <f t="array" aca="1" ref="I105"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05" s="8">
        <f ca="1">IF(tbl_Safeguards[[#This Row],[En place
In place]]&lt;&gt;"N/A",_xlfn.XLOOKUP(tbl_Safeguards[[#This Row],[IG
IG]],tbl_safeguardWeightIG[IG],tbl_safeguardWeightIG[Weight]),"")</f>
        <v>0.75</v>
      </c>
      <c r="K105" s="8" cm="1">
        <f t="array" aca="1" ref="K10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06" spans="1:11" ht="75">
      <c r="A106" t="str">
        <f>tbl_REF_CIS_Safeguards[[#This Row],[SafeguardID]]</f>
        <v>13.07</v>
      </c>
      <c r="B106">
        <f>tbl_REF_CIS_Safeguards[[#This Row],[ControlID]]</f>
        <v>13</v>
      </c>
      <c r="C106" s="8" t="str" cm="1">
        <f t="array" aca="1" ref="C106" ca="1">_xlfn.XLOOKUP(tbl_Safeguards[[#This Row],[ControlID]],tbl_REF_CIS_Controls[ControlID],INDIRECT("tbl_REF_CIS_Controls[ControlName"&amp;DocumentLanguage&amp;"]"))</f>
        <v>Surveillance et défense des réseaux</v>
      </c>
      <c r="D106" s="8" t="str" cm="1">
        <f t="array" aca="1" ref="D106" ca="1">INDIRECT("tbl_REF_CIS_Safeguards[@Title"&amp;DocumentLanguage&amp;"]")</f>
        <v>Déployer une solution de prévention des intrusions basée sur l'hôte</v>
      </c>
      <c r="E106" s="8" t="str" cm="1">
        <f t="array" aca="1" ref="E106" ca="1">INDIRECT("tbl_REF_CIS_Safeguards[@Description"&amp;DocumentLanguage&amp;"]")</f>
        <v>Déployer une solution de prévention des intrusions basée sur l'hôte sur les actifs de l'entreprise, si cela est approprié et/ou pris en charge. Les exemples de mise en œuvre comprennent l'utilisation d'un client EDR (Endpoint Detection and Response) ou d'un agent IPS basé sur l'hôte.</v>
      </c>
      <c r="F106" s="8" t="s">
        <v>117</v>
      </c>
      <c r="G106" t="s">
        <v>107</v>
      </c>
      <c r="H106" s="8"/>
      <c r="I106" s="92" cm="1">
        <f t="array" aca="1" ref="I106"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06" s="8" t="str">
        <f ca="1">IF(tbl_Safeguards[[#This Row],[En place
In place]]&lt;&gt;"N/A",_xlfn.XLOOKUP(tbl_Safeguards[[#This Row],[IG
IG]],tbl_safeguardWeightIG[IG],tbl_safeguardWeightIG[Weight]),"")</f>
        <v/>
      </c>
      <c r="K106" s="8" t="str" cm="1">
        <f t="array" aca="1" ref="K10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07" spans="1:11" ht="60">
      <c r="A107" t="str">
        <f>tbl_REF_CIS_Safeguards[[#This Row],[SafeguardID]]</f>
        <v>13.08</v>
      </c>
      <c r="B107">
        <f>tbl_REF_CIS_Safeguards[[#This Row],[ControlID]]</f>
        <v>13</v>
      </c>
      <c r="C107" s="8" t="str" cm="1">
        <f t="array" aca="1" ref="C107" ca="1">_xlfn.XLOOKUP(tbl_Safeguards[[#This Row],[ControlID]],tbl_REF_CIS_Controls[ControlID],INDIRECT("tbl_REF_CIS_Controls[ControlName"&amp;DocumentLanguage&amp;"]"))</f>
        <v>Surveillance et défense des réseaux</v>
      </c>
      <c r="D107" s="8" t="str" cm="1">
        <f t="array" aca="1" ref="D107" ca="1">INDIRECT("tbl_REF_CIS_Safeguards[@Title"&amp;DocumentLanguage&amp;"]")</f>
        <v>Déployer une solution de prévention des intrusions dans le réseau</v>
      </c>
      <c r="E107" s="8" t="str" cm="1">
        <f t="array" aca="1" ref="E107" ca="1">INDIRECT("tbl_REF_CIS_Safeguards[@Description"&amp;DocumentLanguage&amp;"]")</f>
        <v>Déployer une solution de prévention des intrusions dans le réseau, le cas échéant. Les exemples de mise en œuvre comprennent l'utilisation d'un système de prévention des intrusions dans le réseau (NIPS) ou d'un service équivalent du CSP.</v>
      </c>
      <c r="F107" s="8" t="s">
        <v>117</v>
      </c>
      <c r="G107" t="s">
        <v>106</v>
      </c>
      <c r="H107" s="8"/>
      <c r="I107" s="92" cm="1">
        <f t="array" aca="1" ref="I107"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07" s="8">
        <f ca="1">IF(tbl_Safeguards[[#This Row],[En place
In place]]&lt;&gt;"N/A",_xlfn.XLOOKUP(tbl_Safeguards[[#This Row],[IG
IG]],tbl_safeguardWeightIG[IG],tbl_safeguardWeightIG[Weight]),"")</f>
        <v>0.5</v>
      </c>
      <c r="K107" s="8" cm="1">
        <f t="array" aca="1" ref="K10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108" spans="1:11" ht="60" hidden="1">
      <c r="A108" t="str">
        <f>tbl_REF_CIS_Safeguards[[#This Row],[SafeguardID]]</f>
        <v>13.09</v>
      </c>
      <c r="B108">
        <f>tbl_REF_CIS_Safeguards[[#This Row],[ControlID]]</f>
        <v>13</v>
      </c>
      <c r="C108" s="8" t="str" cm="1">
        <f t="array" aca="1" ref="C108" ca="1">_xlfn.XLOOKUP(tbl_Safeguards[[#This Row],[ControlID]],tbl_REF_CIS_Controls[ControlID],INDIRECT("tbl_REF_CIS_Controls[ControlName"&amp;DocumentLanguage&amp;"]"))</f>
        <v>Surveillance et défense des réseaux</v>
      </c>
      <c r="D108" s="8" t="str" cm="1">
        <f t="array" aca="1" ref="D108" ca="1">INDIRECT("tbl_REF_CIS_Safeguards[@Title"&amp;DocumentLanguage&amp;"]")</f>
        <v>Déployer un contrôle d'accès au niveau du port</v>
      </c>
      <c r="E108" s="8" t="str" cm="1">
        <f t="array" aca="1" ref="E108" ca="1">INDIRECT("tbl_REF_CIS_Safeguards[@Description"&amp;DocumentLanguage&amp;"]")</f>
        <v>Déployer un contrôle d'accès au niveau du port. Le contrôle d'accès au niveau du port utilise 802.1x ou des protocoles similaires de contrôle d'accès au réseau, tels que les certificats, et peut intégrer l'authentification de l'utilisateur et/ou de l'appareil.</v>
      </c>
      <c r="F108" s="8"/>
      <c r="G108" t="s">
        <v>107</v>
      </c>
      <c r="H108" s="8"/>
      <c r="I108" s="92" cm="1">
        <f t="array" aca="1" ref="I108"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08" s="8" t="str">
        <f ca="1">IF(tbl_Safeguards[[#This Row],[En place
In place]]&lt;&gt;"N/A",_xlfn.XLOOKUP(tbl_Safeguards[[#This Row],[IG
IG]],tbl_safeguardWeightIG[IG],tbl_safeguardWeightIG[Weight]),"")</f>
        <v/>
      </c>
      <c r="K108" s="8" t="str" cm="1">
        <f t="array" aca="1" ref="K10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09" spans="1:11" ht="45">
      <c r="A109" t="str">
        <f>tbl_REF_CIS_Safeguards[[#This Row],[SafeguardID]]</f>
        <v>13.10</v>
      </c>
      <c r="B109">
        <f>tbl_REF_CIS_Safeguards[[#This Row],[ControlID]]</f>
        <v>13</v>
      </c>
      <c r="C109" s="8" t="str" cm="1">
        <f t="array" aca="1" ref="C109" ca="1">_xlfn.XLOOKUP(tbl_Safeguards[[#This Row],[ControlID]],tbl_REF_CIS_Controls[ControlID],INDIRECT("tbl_REF_CIS_Controls[ControlName"&amp;DocumentLanguage&amp;"]"))</f>
        <v>Surveillance et défense des réseaux</v>
      </c>
      <c r="D109" s="8" t="str" cm="1">
        <f t="array" aca="1" ref="D109" ca="1">INDIRECT("tbl_REF_CIS_Safeguards[@Title"&amp;DocumentLanguage&amp;"]")</f>
        <v>Effectuer un filtrage de la couche application</v>
      </c>
      <c r="E109" s="8" t="str" cm="1">
        <f t="array" aca="1" ref="E109" ca="1">INDIRECT("tbl_REF_CIS_Safeguards[@Description"&amp;DocumentLanguage&amp;"]")</f>
        <v>Effectuer un filtrage de la couche application. Les exemples de mise en œuvre comprennent un proxy de filtrage, un pare-feu de la couche application ou une passerelle.</v>
      </c>
      <c r="F109" s="8" t="s">
        <v>117</v>
      </c>
      <c r="G109" t="s">
        <v>111</v>
      </c>
      <c r="H109" s="8"/>
      <c r="I109" s="92" cm="1">
        <f t="array" aca="1" ref="I109"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09" s="8">
        <f ca="1">IF(tbl_Safeguards[[#This Row],[En place
In place]]&lt;&gt;"N/A",_xlfn.XLOOKUP(tbl_Safeguards[[#This Row],[IG
IG]],tbl_safeguardWeightIG[IG],tbl_safeguardWeightIG[Weight]),"")</f>
        <v>0.5</v>
      </c>
      <c r="K109" s="8" cm="1">
        <f t="array" aca="1" ref="K10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0.5</v>
      </c>
    </row>
    <row r="110" spans="1:11" ht="30">
      <c r="A110" t="str">
        <f>tbl_REF_CIS_Safeguards[[#This Row],[SafeguardID]]</f>
        <v>13.11</v>
      </c>
      <c r="B110">
        <f>tbl_REF_CIS_Safeguards[[#This Row],[ControlID]]</f>
        <v>13</v>
      </c>
      <c r="C110" s="8" t="str" cm="1">
        <f t="array" aca="1" ref="C110" ca="1">_xlfn.XLOOKUP(tbl_Safeguards[[#This Row],[ControlID]],tbl_REF_CIS_Controls[ControlID],INDIRECT("tbl_REF_CIS_Controls[ControlName"&amp;DocumentLanguage&amp;"]"))</f>
        <v>Surveillance et défense des réseaux</v>
      </c>
      <c r="D110" s="8" t="str" cm="1">
        <f t="array" aca="1" ref="D110" ca="1">INDIRECT("tbl_REF_CIS_Safeguards[@Title"&amp;DocumentLanguage&amp;"]")</f>
        <v>Régler les seuils d'alerte des événements de sécurité</v>
      </c>
      <c r="E110" s="8" t="str" cm="1">
        <f t="array" aca="1" ref="E110" ca="1">INDIRECT("tbl_REF_CIS_Safeguards[@Description"&amp;DocumentLanguage&amp;"]")</f>
        <v>Ajustez les seuils d'alerte des événements de sécurité tous les mois, ou plus fréquemment.</v>
      </c>
      <c r="F110" s="8" t="s">
        <v>117</v>
      </c>
      <c r="G110" t="s">
        <v>111</v>
      </c>
      <c r="H110" s="8"/>
      <c r="I110" s="92" cm="1">
        <f t="array" aca="1" ref="I110"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10" s="8">
        <f ca="1">IF(tbl_Safeguards[[#This Row],[En place
In place]]&lt;&gt;"N/A",_xlfn.XLOOKUP(tbl_Safeguards[[#This Row],[IG
IG]],tbl_safeguardWeightIG[IG],tbl_safeguardWeightIG[Weight]),"")</f>
        <v>0.5</v>
      </c>
      <c r="K110" s="8" cm="1">
        <f t="array" aca="1" ref="K11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0.5</v>
      </c>
    </row>
    <row r="111" spans="1:11" ht="135" hidden="1">
      <c r="A111" t="str">
        <f>tbl_REF_CIS_Safeguards[[#This Row],[SafeguardID]]</f>
        <v>14.01</v>
      </c>
      <c r="B111">
        <f>tbl_REF_CIS_Safeguards[[#This Row],[ControlID]]</f>
        <v>14</v>
      </c>
      <c r="C111" s="8" t="str" cm="1">
        <f t="array" aca="1" ref="C111" ca="1">_xlfn.XLOOKUP(tbl_Safeguards[[#This Row],[ControlID]],tbl_REF_CIS_Controls[ControlID],INDIRECT("tbl_REF_CIS_Controls[ControlName"&amp;DocumentLanguage&amp;"]"))</f>
        <v>Formation à la sensibilisation et aux compétences en matière de sécurité</v>
      </c>
      <c r="D111" s="8" t="str" cm="1">
        <f t="array" aca="1" ref="D111" ca="1">INDIRECT("tbl_REF_CIS_Safeguards[@Title"&amp;DocumentLanguage&amp;"]")</f>
        <v>Établir et maintenir un programme de sensibilisation à la sécurité</v>
      </c>
      <c r="E111" s="8" t="str" cm="1">
        <f t="array" aca="1" ref="E111" ca="1">INDIRECT("tbl_REF_CIS_Safeguards[@Description"&amp;DocumentLanguage&amp;"]")</f>
        <v>Établir et maintenir un programme de sensibilisation à la sécurité. L'objectif d'un programme de sensibilisation à la sécurité est de former le personnel de l'entreprise à la manière d'interagir avec les biens et les données de l'entreprise de manière sécurisée. Organiser une formation à l'embauche et, au minimum, une fois par an. Réviser et mettre à jour le contenu chaque année, ou lorsque des changements importants interviennent dans l'entreprise et peuvent avoir une incidence sur la présente sauvegarde.</v>
      </c>
      <c r="F111" s="8" t="str" cm="1">
        <f t="array" aca="1" ref="F111" ca="1">INDIRECT("tbl_REF_CIS_Safeguards[@Comment"&amp;DocumentLanguage&amp;"]")</f>
        <v/>
      </c>
      <c r="G111" t="s">
        <v>17</v>
      </c>
      <c r="H111" s="8" t="s">
        <v>141</v>
      </c>
      <c r="I111" s="92" cm="1">
        <f t="array" aca="1" ref="I111"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11" s="8">
        <f ca="1">IF(tbl_Safeguards[[#This Row],[En place
In place]]&lt;&gt;"N/A",_xlfn.XLOOKUP(tbl_Safeguards[[#This Row],[IG
IG]],tbl_safeguardWeightIG[IG],tbl_safeguardWeightIG[Weight]),"")</f>
        <v>1</v>
      </c>
      <c r="K111" s="8" cm="1">
        <f t="array" aca="1" ref="K11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12" spans="1:11" ht="60" hidden="1">
      <c r="A112" t="str">
        <f>tbl_REF_CIS_Safeguards[[#This Row],[SafeguardID]]</f>
        <v>14.02</v>
      </c>
      <c r="B112">
        <f>tbl_REF_CIS_Safeguards[[#This Row],[ControlID]]</f>
        <v>14</v>
      </c>
      <c r="C112" s="8" t="str" cm="1">
        <f t="array" aca="1" ref="C112" ca="1">_xlfn.XLOOKUP(tbl_Safeguards[[#This Row],[ControlID]],tbl_REF_CIS_Controls[ControlID],INDIRECT("tbl_REF_CIS_Controls[ControlName"&amp;DocumentLanguage&amp;"]"))</f>
        <v>Formation à la sensibilisation et aux compétences en matière de sécurité</v>
      </c>
      <c r="D112" s="8" t="str" cm="1">
        <f t="array" aca="1" ref="D112" ca="1">INDIRECT("tbl_REF_CIS_Safeguards[@Title"&amp;DocumentLanguage&amp;"]")</f>
        <v>Former les membres du personnel à reconnaître les attaques d'ingénierie sociale</v>
      </c>
      <c r="E112" s="8" t="str" cm="1">
        <f t="array" aca="1" ref="E112" ca="1">INDIRECT("tbl_REF_CIS_Safeguards[@Description"&amp;DocumentLanguage&amp;"]")</f>
        <v>Former les membres du personnel à reconnaître les attaques d'ingénierie sociale, telles que le phishing, la compromission des courriers électroniques professionnels (BEC), le pretexting et le tailgating.</v>
      </c>
      <c r="F112" s="8" t="str" cm="1">
        <f t="array" aca="1" ref="F112" ca="1">INDIRECT("tbl_REF_CIS_Safeguards[@Comment"&amp;DocumentLanguage&amp;"]")</f>
        <v/>
      </c>
      <c r="G112" t="s">
        <v>17</v>
      </c>
      <c r="H112" s="8" t="s">
        <v>141</v>
      </c>
      <c r="I112" s="92" cm="1">
        <f t="array" aca="1" ref="I112"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12" s="8">
        <f ca="1">IF(tbl_Safeguards[[#This Row],[En place
In place]]&lt;&gt;"N/A",_xlfn.XLOOKUP(tbl_Safeguards[[#This Row],[IG
IG]],tbl_safeguardWeightIG[IG],tbl_safeguardWeightIG[Weight]),"")</f>
        <v>1</v>
      </c>
      <c r="K112" s="8" cm="1">
        <f t="array" aca="1" ref="K11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13" spans="1:11" ht="60" hidden="1">
      <c r="A113" t="str">
        <f>tbl_REF_CIS_Safeguards[[#This Row],[SafeguardID]]</f>
        <v>14.03</v>
      </c>
      <c r="B113">
        <f>tbl_REF_CIS_Safeguards[[#This Row],[ControlID]]</f>
        <v>14</v>
      </c>
      <c r="C113" s="8" t="str" cm="1">
        <f t="array" aca="1" ref="C113" ca="1">_xlfn.XLOOKUP(tbl_Safeguards[[#This Row],[ControlID]],tbl_REF_CIS_Controls[ControlID],INDIRECT("tbl_REF_CIS_Controls[ControlName"&amp;DocumentLanguage&amp;"]"))</f>
        <v>Formation à la sensibilisation et aux compétences en matière de sécurité</v>
      </c>
      <c r="D113" s="8" t="str" cm="1">
        <f t="array" aca="1" ref="D113" ca="1">INDIRECT("tbl_REF_CIS_Safeguards[@Title"&amp;DocumentLanguage&amp;"]")</f>
        <v>Former les membres du personnel aux meilleures pratiques d'authentification</v>
      </c>
      <c r="E113" s="8" t="str" cm="1">
        <f t="array" aca="1" ref="E113" ca="1">INDIRECT("tbl_REF_CIS_Safeguards[@Description"&amp;DocumentLanguage&amp;"]")</f>
        <v>Former les membres du personnel aux meilleures pratiques d'authentification. Parmi les sujets abordés, citons la MFA, la composition des mots de passe et la gestion des informations d'identification.</v>
      </c>
      <c r="F113" s="8" t="str" cm="1">
        <f t="array" aca="1" ref="F113" ca="1">INDIRECT("tbl_REF_CIS_Safeguards[@Comment"&amp;DocumentLanguage&amp;"]")</f>
        <v/>
      </c>
      <c r="G113" t="s">
        <v>17</v>
      </c>
      <c r="H113" s="8" t="s">
        <v>141</v>
      </c>
      <c r="I113" s="92" cm="1">
        <f t="array" aca="1" ref="I113"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13" s="8">
        <f ca="1">IF(tbl_Safeguards[[#This Row],[En place
In place]]&lt;&gt;"N/A",_xlfn.XLOOKUP(tbl_Safeguards[[#This Row],[IG
IG]],tbl_safeguardWeightIG[IG],tbl_safeguardWeightIG[Weight]),"")</f>
        <v>1</v>
      </c>
      <c r="K113" s="8" cm="1">
        <f t="array" aca="1" ref="K11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14" spans="1:11" ht="105" hidden="1">
      <c r="A114" t="str">
        <f>tbl_REF_CIS_Safeguards[[#This Row],[SafeguardID]]</f>
        <v>14.04</v>
      </c>
      <c r="B114">
        <f>tbl_REF_CIS_Safeguards[[#This Row],[ControlID]]</f>
        <v>14</v>
      </c>
      <c r="C114" s="8" t="str" cm="1">
        <f t="array" aca="1" ref="C114" ca="1">_xlfn.XLOOKUP(tbl_Safeguards[[#This Row],[ControlID]],tbl_REF_CIS_Controls[ControlID],INDIRECT("tbl_REF_CIS_Controls[ControlName"&amp;DocumentLanguage&amp;"]"))</f>
        <v>Formation à la sensibilisation et aux compétences en matière de sécurité</v>
      </c>
      <c r="D114" s="8" t="str" cm="1">
        <f t="array" aca="1" ref="D114" ca="1">INDIRECT("tbl_REF_CIS_Safeguards[@Title"&amp;DocumentLanguage&amp;"]")</f>
        <v>Former le personnel aux meilleures pratiques en matière de traitement des données</v>
      </c>
      <c r="E114" s="8" t="str" cm="1">
        <f t="array" aca="1" ref="E114" ca="1">INDIRECT("tbl_REF_CIS_Safeguards[@Description"&amp;DocumentLanguage&amp;"]")</f>
        <v>Former les membres du personnel à l'identification et au stockage, au transfert, à l'archivage et à la destruction des données sensibles. Il s'agit également de former les membres du personnel aux meilleures pratiques en matière d'écran clair et de bureau, telles que le verrouillage de l'écran lorsqu'ils s'éloignent de leur poste de travail, l'effacement des tableaux blancs physiques et virtuels à la fin des réunions, et le stockage sécurisé des données et des actifs.</v>
      </c>
      <c r="F114" s="8" t="str" cm="1">
        <f t="array" aca="1" ref="F114" ca="1">INDIRECT("tbl_REF_CIS_Safeguards[@Comment"&amp;DocumentLanguage&amp;"]")</f>
        <v/>
      </c>
      <c r="G114" t="s">
        <v>17</v>
      </c>
      <c r="H114" s="8" t="s">
        <v>141</v>
      </c>
      <c r="I114" s="92" cm="1">
        <f t="array" aca="1" ref="I114"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14" s="8">
        <f ca="1">IF(tbl_Safeguards[[#This Row],[En place
In place]]&lt;&gt;"N/A",_xlfn.XLOOKUP(tbl_Safeguards[[#This Row],[IG
IG]],tbl_safeguardWeightIG[IG],tbl_safeguardWeightIG[Weight]),"")</f>
        <v>1</v>
      </c>
      <c r="K114" s="8" cm="1">
        <f t="array" aca="1" ref="K11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15" spans="1:11" ht="75" hidden="1">
      <c r="A115" t="str">
        <f>tbl_REF_CIS_Safeguards[[#This Row],[SafeguardID]]</f>
        <v>14.05</v>
      </c>
      <c r="B115">
        <f>tbl_REF_CIS_Safeguards[[#This Row],[ControlID]]</f>
        <v>14</v>
      </c>
      <c r="C115" s="8" t="str" cm="1">
        <f t="array" aca="1" ref="C115" ca="1">_xlfn.XLOOKUP(tbl_Safeguards[[#This Row],[ControlID]],tbl_REF_CIS_Controls[ControlID],INDIRECT("tbl_REF_CIS_Controls[ControlName"&amp;DocumentLanguage&amp;"]"))</f>
        <v>Formation à la sensibilisation et aux compétences en matière de sécurité</v>
      </c>
      <c r="D115" s="8" t="str" cm="1">
        <f t="array" aca="1" ref="D115" ca="1">INDIRECT("tbl_REF_CIS_Safeguards[@Title"&amp;DocumentLanguage&amp;"]")</f>
        <v>Former les membres du personnel aux causes de l'exposition involontaire aux données</v>
      </c>
      <c r="E115" s="8" t="str" cm="1">
        <f t="array" aca="1" ref="E115" ca="1">INDIRECT("tbl_REF_CIS_Safeguards[@Description"&amp;DocumentLanguage&amp;"]")</f>
        <v>Former les membres du personnel pour qu'ils soient conscients des causes d'exposition involontaire des données. Il peut s'agir par exemple d'une mauvaise livraison de données sensibles, de la perte d'un appareil portable d'un utilisateur final ou de mesures de publication de données à l'intention d'un public non ciblé.</v>
      </c>
      <c r="F115" s="8" t="str" cm="1">
        <f t="array" aca="1" ref="F115" ca="1">INDIRECT("tbl_REF_CIS_Safeguards[@Comment"&amp;DocumentLanguage&amp;"]")</f>
        <v/>
      </c>
      <c r="G115" t="s">
        <v>17</v>
      </c>
      <c r="H115" s="8" t="s">
        <v>141</v>
      </c>
      <c r="I115" s="92" cm="1">
        <f t="array" aca="1" ref="I115"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15" s="8">
        <f ca="1">IF(tbl_Safeguards[[#This Row],[En place
In place]]&lt;&gt;"N/A",_xlfn.XLOOKUP(tbl_Safeguards[[#This Row],[IG
IG]],tbl_safeguardWeightIG[IG],tbl_safeguardWeightIG[Weight]),"")</f>
        <v>1</v>
      </c>
      <c r="K115" s="8" cm="1">
        <f t="array" aca="1" ref="K11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16" spans="1:11" ht="45" hidden="1">
      <c r="A116" t="str">
        <f>tbl_REF_CIS_Safeguards[[#This Row],[SafeguardID]]</f>
        <v>14.06</v>
      </c>
      <c r="B116">
        <f>tbl_REF_CIS_Safeguards[[#This Row],[ControlID]]</f>
        <v>14</v>
      </c>
      <c r="C116" s="8" t="str" cm="1">
        <f t="array" aca="1" ref="C116" ca="1">_xlfn.XLOOKUP(tbl_Safeguards[[#This Row],[ControlID]],tbl_REF_CIS_Controls[ControlID],INDIRECT("tbl_REF_CIS_Controls[ControlName"&amp;DocumentLanguage&amp;"]"))</f>
        <v>Formation à la sensibilisation et aux compétences en matière de sécurité</v>
      </c>
      <c r="D116" s="8" t="str" cm="1">
        <f t="array" aca="1" ref="D116" ca="1">INDIRECT("tbl_REF_CIS_Safeguards[@Title"&amp;DocumentLanguage&amp;"]")</f>
        <v>Former les membres du personnel à reconnaître et à signaler les incidents de sécurité</v>
      </c>
      <c r="E116" s="8" t="str" cm="1">
        <f t="array" aca="1" ref="E116" ca="1">INDIRECT("tbl_REF_CIS_Safeguards[@Description"&amp;DocumentLanguage&amp;"]")</f>
        <v>Former les membres du personnel pour qu'ils soient en mesure de reconnaître un incident potentiel et de le signaler.</v>
      </c>
      <c r="F116" s="8" t="str" cm="1">
        <f t="array" aca="1" ref="F116" ca="1">INDIRECT("tbl_REF_CIS_Safeguards[@Comment"&amp;DocumentLanguage&amp;"]")</f>
        <v/>
      </c>
      <c r="G116" t="s">
        <v>17</v>
      </c>
      <c r="H116" s="8" t="s">
        <v>141</v>
      </c>
      <c r="I116" s="92" cm="1">
        <f t="array" aca="1" ref="I116"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16" s="8">
        <f ca="1">IF(tbl_Safeguards[[#This Row],[En place
In place]]&lt;&gt;"N/A",_xlfn.XLOOKUP(tbl_Safeguards[[#This Row],[IG
IG]],tbl_safeguardWeightIG[IG],tbl_safeguardWeightIG[Weight]),"")</f>
        <v>1</v>
      </c>
      <c r="K116" s="8" cm="1">
        <f t="array" aca="1" ref="K11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17" spans="1:11" ht="75" hidden="1">
      <c r="A117" t="str">
        <f>tbl_REF_CIS_Safeguards[[#This Row],[SafeguardID]]</f>
        <v>14.07</v>
      </c>
      <c r="B117">
        <f>tbl_REF_CIS_Safeguards[[#This Row],[ControlID]]</f>
        <v>14</v>
      </c>
      <c r="C117" s="8" t="str" cm="1">
        <f t="array" aca="1" ref="C117" ca="1">_xlfn.XLOOKUP(tbl_Safeguards[[#This Row],[ControlID]],tbl_REF_CIS_Controls[ControlID],INDIRECT("tbl_REF_CIS_Controls[ControlName"&amp;DocumentLanguage&amp;"]"))</f>
        <v>Formation à la sensibilisation et aux compétences en matière de sécurité</v>
      </c>
      <c r="D117" s="8" t="str" cm="1">
        <f t="array" aca="1" ref="D117" ca="1">INDIRECT("tbl_REF_CIS_Safeguards[@Title"&amp;DocumentLanguage&amp;"]")</f>
        <v>Former le personnel sur la manière d'identifier et de signaler si les mises à jour de sécurité manquent sur les actifs de l'entreprise</v>
      </c>
      <c r="E117" s="8" t="str" cm="1">
        <f t="array" aca="1" ref="E117" ca="1">INDIRECT("tbl_REF_CIS_Safeguards[@Description"&amp;DocumentLanguage&amp;"]")</f>
        <v>Former le personnel pour qu'il comprenne comment vérifier et signaler les correctifs logiciels périmés ou toute défaillance des processus et outils automatisés. Une partie de cette formation devrait inclure la notification au personnel informatique de toute défaillance des processus et outils automatisés.</v>
      </c>
      <c r="F117" s="8" t="str" cm="1">
        <f t="array" aca="1" ref="F117" ca="1">INDIRECT("tbl_REF_CIS_Safeguards[@Comment"&amp;DocumentLanguage&amp;"]")</f>
        <v/>
      </c>
      <c r="G117" t="s">
        <v>17</v>
      </c>
      <c r="H117" s="8" t="s">
        <v>141</v>
      </c>
      <c r="I117" s="92" cm="1">
        <f t="array" aca="1" ref="I117"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17" s="8">
        <f ca="1">IF(tbl_Safeguards[[#This Row],[En place
In place]]&lt;&gt;"N/A",_xlfn.XLOOKUP(tbl_Safeguards[[#This Row],[IG
IG]],tbl_safeguardWeightIG[IG],tbl_safeguardWeightIG[Weight]),"")</f>
        <v>1</v>
      </c>
      <c r="K117" s="8" cm="1">
        <f t="array" aca="1" ref="K11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18" spans="1:11" ht="90" hidden="1">
      <c r="A118" t="str">
        <f>tbl_REF_CIS_Safeguards[[#This Row],[SafeguardID]]</f>
        <v>14.08</v>
      </c>
      <c r="B118">
        <f>tbl_REF_CIS_Safeguards[[#This Row],[ControlID]]</f>
        <v>14</v>
      </c>
      <c r="C118" s="8" t="str" cm="1">
        <f t="array" aca="1" ref="C118" ca="1">_xlfn.XLOOKUP(tbl_Safeguards[[#This Row],[ControlID]],tbl_REF_CIS_Controls[ControlID],INDIRECT("tbl_REF_CIS_Controls[ControlName"&amp;DocumentLanguage&amp;"]"))</f>
        <v>Formation à la sensibilisation et aux compétences en matière de sécurité</v>
      </c>
      <c r="D118" s="8" t="str" cm="1">
        <f t="array" aca="1" ref="D118" ca="1">INDIRECT("tbl_REF_CIS_Safeguards[@Title"&amp;DocumentLanguage&amp;"]")</f>
        <v>Former le personnel aux dangers de la connexion et de la transmission de données d'entreprise sur des réseaux non sécurisés</v>
      </c>
      <c r="E118" s="8" t="str" cm="1">
        <f t="array" aca="1" ref="E118" ca="1">INDIRECT("tbl_REF_CIS_Safeguards[@Description"&amp;DocumentLanguage&amp;"]")</f>
        <v>Former les membres du personnel aux dangers de la connexion et de la transmission de données sur des réseaux non sécurisés dans le cadre des activités de l'entreprise. Si l'entreprise emploie des travailleurs à distance, la formation doit inclure des conseils pour s'assurer que tous les utilisateurs configurent de manière sécurisée l'infrastructure de leur réseau domestique.</v>
      </c>
      <c r="F118" s="8" t="str" cm="1">
        <f t="array" aca="1" ref="F118" ca="1">INDIRECT("tbl_REF_CIS_Safeguards[@Comment"&amp;DocumentLanguage&amp;"]")</f>
        <v/>
      </c>
      <c r="G118" t="s">
        <v>17</v>
      </c>
      <c r="H118" s="8" t="s">
        <v>141</v>
      </c>
      <c r="I118" s="92" cm="1">
        <f t="array" aca="1" ref="I118"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18" s="8">
        <f ca="1">IF(tbl_Safeguards[[#This Row],[En place
In place]]&lt;&gt;"N/A",_xlfn.XLOOKUP(tbl_Safeguards[[#This Row],[IG
IG]],tbl_safeguardWeightIG[IG],tbl_safeguardWeightIG[Weight]),"")</f>
        <v>1</v>
      </c>
      <c r="K118" s="8" cm="1">
        <f t="array" aca="1" ref="K11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19" spans="1:11" ht="120" hidden="1">
      <c r="A119" t="str">
        <f>tbl_REF_CIS_Safeguards[[#This Row],[SafeguardID]]</f>
        <v>14.09</v>
      </c>
      <c r="B119">
        <f>tbl_REF_CIS_Safeguards[[#This Row],[ControlID]]</f>
        <v>14</v>
      </c>
      <c r="C119" s="8" t="str" cm="1">
        <f t="array" aca="1" ref="C119" ca="1">_xlfn.XLOOKUP(tbl_Safeguards[[#This Row],[ControlID]],tbl_REF_CIS_Controls[ControlID],INDIRECT("tbl_REF_CIS_Controls[ControlName"&amp;DocumentLanguage&amp;"]"))</f>
        <v>Formation à la sensibilisation et aux compétences en matière de sécurité</v>
      </c>
      <c r="D119" s="8" t="str" cm="1">
        <f t="array" aca="1" ref="D119" ca="1">INDIRECT("tbl_REF_CIS_Safeguards[@Title"&amp;DocumentLanguage&amp;"]")</f>
        <v>Organiser une sensibilisation à la sécurité et une formation aux compétences spécifiques à chaque rôle</v>
      </c>
      <c r="E119" s="8" t="str" cm="1">
        <f t="array" aca="1" ref="E119" ca="1">INDIRECT("tbl_REF_CIS_Safeguards[@Description"&amp;DocumentLanguage&amp;"]")</f>
        <v>Organiser une sensibilisation à la sécurité et une formation aux compétences spécifiques à chaque rôle. Parmi les exemples de mise en œuvre, citons les cours d'administration de systèmes sécurisés pour les professionnels de l'informatique, la formation à la sensibilisation et à la prévention des vulnérabilités du Top 10 de l'OWASP® pour les développeurs d'applications web, et la formation à la sensibilisation à l'ingénierie sociale avancée pour les rôles de haut niveau.</v>
      </c>
      <c r="F119" s="8" t="str" cm="1">
        <f t="array" aca="1" ref="F119" ca="1">INDIRECT("tbl_REF_CIS_Safeguards[@Comment"&amp;DocumentLanguage&amp;"]")</f>
        <v/>
      </c>
      <c r="G119" t="s">
        <v>17</v>
      </c>
      <c r="H119" s="8" t="s">
        <v>141</v>
      </c>
      <c r="I119" s="92" cm="1">
        <f t="array" aca="1" ref="I119"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19" s="8">
        <f ca="1">IF(tbl_Safeguards[[#This Row],[En place
In place]]&lt;&gt;"N/A",_xlfn.XLOOKUP(tbl_Safeguards[[#This Row],[IG
IG]],tbl_safeguardWeightIG[IG],tbl_safeguardWeightIG[Weight]),"")</f>
        <v>0.75</v>
      </c>
      <c r="K119" s="8" cm="1">
        <f t="array" aca="1" ref="K11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20" spans="1:11" ht="120" hidden="1">
      <c r="A120" t="str">
        <f>tbl_REF_CIS_Safeguards[[#This Row],[SafeguardID]]</f>
        <v>15.01</v>
      </c>
      <c r="B120">
        <f>tbl_REF_CIS_Safeguards[[#This Row],[ControlID]]</f>
        <v>15</v>
      </c>
      <c r="C120" s="8" t="str" cm="1">
        <f t="array" aca="1" ref="C120" ca="1">_xlfn.XLOOKUP(tbl_Safeguards[[#This Row],[ControlID]],tbl_REF_CIS_Controls[ControlID],INDIRECT("tbl_REF_CIS_Controls[ControlName"&amp;DocumentLanguage&amp;"]"))</f>
        <v>Gestion des fournisseurs de services</v>
      </c>
      <c r="D120" s="8" t="str" cm="1">
        <f t="array" aca="1" ref="D120" ca="1">INDIRECT("tbl_REF_CIS_Safeguards[@Title"&amp;DocumentLanguage&amp;"]")</f>
        <v>Établir et tenir à jour un inventaire des prestataires de services</v>
      </c>
      <c r="E120" s="8" t="str" cm="1">
        <f t="array" aca="1" ref="E120" ca="1">INDIRECT("tbl_REF_CIS_Safeguards[@Description"&amp;DocumentLanguage&amp;"]")</f>
        <v>Établir et tenir à jour un inventaire des fournisseurs de services. Cet inventaire doit dresser la liste de tous les fournisseurs de services connus, indiquer leur(s) classification(s) et désigner un contact au sein de l'entreprise pour chaque fournisseur de services. L'inventaire doit être revu et mis à jour chaque année, ou lorsque des changements importants interviennent dans l'entreprise et sont susceptibles d'avoir une incidence sur cette mesure de sauvegarde.</v>
      </c>
      <c r="F120" s="8" t="str" cm="1">
        <f t="array" aca="1" ref="F120" ca="1">INDIRECT("tbl_REF_CIS_Safeguards[@Comment"&amp;DocumentLanguage&amp;"]")</f>
        <v/>
      </c>
      <c r="G120" t="s">
        <v>17</v>
      </c>
      <c r="H120" s="8"/>
      <c r="I120" s="92" cm="1">
        <f t="array" aca="1" ref="I120"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20" s="8">
        <f ca="1">IF(tbl_Safeguards[[#This Row],[En place
In place]]&lt;&gt;"N/A",_xlfn.XLOOKUP(tbl_Safeguards[[#This Row],[IG
IG]],tbl_safeguardWeightIG[IG],tbl_safeguardWeightIG[Weight]),"")</f>
        <v>1</v>
      </c>
      <c r="K120" s="8" cm="1">
        <f t="array" aca="1" ref="K12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21" spans="1:11" ht="105" hidden="1">
      <c r="A121" t="str">
        <f>tbl_REF_CIS_Safeguards[[#This Row],[SafeguardID]]</f>
        <v>15.02</v>
      </c>
      <c r="B121">
        <f>tbl_REF_CIS_Safeguards[[#This Row],[ControlID]]</f>
        <v>15</v>
      </c>
      <c r="C121" s="8" t="str" cm="1">
        <f t="array" aca="1" ref="C121" ca="1">_xlfn.XLOOKUP(tbl_Safeguards[[#This Row],[ControlID]],tbl_REF_CIS_Controls[ControlID],INDIRECT("tbl_REF_CIS_Controls[ControlName"&amp;DocumentLanguage&amp;"]"))</f>
        <v>Gestion des fournisseurs de services</v>
      </c>
      <c r="D121" s="8" t="str" cm="1">
        <f t="array" aca="1" ref="D121" ca="1">INDIRECT("tbl_REF_CIS_Safeguards[@Title"&amp;DocumentLanguage&amp;"]")</f>
        <v>Établir et maintenir une politique de gestion des prestataires de services</v>
      </c>
      <c r="E121" s="8" t="str" cm="1">
        <f t="array" aca="1" ref="E121" ca="1">INDIRECT("tbl_REF_CIS_Safeguards[@Description"&amp;DocumentLanguage&amp;"]")</f>
        <v>Établir et maintenir une politique de gestion des fournisseurs de services. Veiller à ce que cette politique traite de la classification, de l'inventaire, de l'évaluation, de la surveillance et de la mise hors service des fournisseurs de services. Réviser et mettre à jour la politique chaque année, ou lorsque des changements importants interviennent au sein de l'entreprise et sont susceptibles d'avoir une incidence sur la présente mesure de sauvegarde.</v>
      </c>
      <c r="F121" s="8" t="str" cm="1">
        <f t="array" aca="1" ref="F121" ca="1">INDIRECT("tbl_REF_CIS_Safeguards[@Comment"&amp;DocumentLanguage&amp;"]")</f>
        <v/>
      </c>
      <c r="G121" t="s">
        <v>17</v>
      </c>
      <c r="H121" s="8"/>
      <c r="I121" s="92" cm="1">
        <f t="array" aca="1" ref="I121"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21" s="8">
        <f ca="1">IF(tbl_Safeguards[[#This Row],[En place
In place]]&lt;&gt;"N/A",_xlfn.XLOOKUP(tbl_Safeguards[[#This Row],[IG
IG]],tbl_safeguardWeightIG[IG],tbl_safeguardWeightIG[Weight]),"")</f>
        <v>0.75</v>
      </c>
      <c r="K121" s="8" cm="1">
        <f t="array" aca="1" ref="K12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22" spans="1:11" ht="120" hidden="1">
      <c r="A122" t="str">
        <f>tbl_REF_CIS_Safeguards[[#This Row],[SafeguardID]]</f>
        <v>15.03</v>
      </c>
      <c r="B122">
        <f>tbl_REF_CIS_Safeguards[[#This Row],[ControlID]]</f>
        <v>15</v>
      </c>
      <c r="C122" s="8" t="str" cm="1">
        <f t="array" aca="1" ref="C122" ca="1">_xlfn.XLOOKUP(tbl_Safeguards[[#This Row],[ControlID]],tbl_REF_CIS_Controls[ControlID],INDIRECT("tbl_REF_CIS_Controls[ControlName"&amp;DocumentLanguage&amp;"]"))</f>
        <v>Gestion des fournisseurs de services</v>
      </c>
      <c r="D122" s="8" t="str" cm="1">
        <f t="array" aca="1" ref="D122" ca="1">INDIRECT("tbl_REF_CIS_Safeguards[@Title"&amp;DocumentLanguage&amp;"]")</f>
        <v>Classer les prestataires de services</v>
      </c>
      <c r="E122" s="8" t="str" cm="1">
        <f t="array" aca="1" ref="E122" ca="1">INDIRECT("tbl_REF_CIS_Safeguards[@Description"&amp;DocumentLanguage&amp;"]")</f>
        <v>Classer les fournisseurs de services. La classification peut prendre en compte une ou plusieurs caractéristiques, telles que la sensibilité des données, le volume des données, les exigences en matière de disponibilité, les réglementations applicables, les risques inhérents et les risques atténués. Mettre à jour et réviser les classifications chaque année, ou lorsque des changements importants au sein de l'entreprise se produisent et pourraient avoir une incidence sur cette mesure de sauvegarde.</v>
      </c>
      <c r="F122" s="8" t="str" cm="1">
        <f t="array" aca="1" ref="F122" ca="1">INDIRECT("tbl_REF_CIS_Safeguards[@Comment"&amp;DocumentLanguage&amp;"]")</f>
        <v/>
      </c>
      <c r="G122" t="s">
        <v>107</v>
      </c>
      <c r="H122" s="8"/>
      <c r="I122" s="92" cm="1">
        <f t="array" aca="1" ref="I122"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22" s="8" t="str">
        <f ca="1">IF(tbl_Safeguards[[#This Row],[En place
In place]]&lt;&gt;"N/A",_xlfn.XLOOKUP(tbl_Safeguards[[#This Row],[IG
IG]],tbl_safeguardWeightIG[IG],tbl_safeguardWeightIG[Weight]),"")</f>
        <v/>
      </c>
      <c r="K122" s="8" t="str" cm="1">
        <f t="array" aca="1" ref="K12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23" spans="1:11" ht="165" hidden="1">
      <c r="A123" t="str">
        <f>tbl_REF_CIS_Safeguards[[#This Row],[SafeguardID]]</f>
        <v>15.04</v>
      </c>
      <c r="B123">
        <f>tbl_REF_CIS_Safeguards[[#This Row],[ControlID]]</f>
        <v>15</v>
      </c>
      <c r="C123" s="8" t="str" cm="1">
        <f t="array" aca="1" ref="C123" ca="1">_xlfn.XLOOKUP(tbl_Safeguards[[#This Row],[ControlID]],tbl_REF_CIS_Controls[ControlID],INDIRECT("tbl_REF_CIS_Controls[ControlName"&amp;DocumentLanguage&amp;"]"))</f>
        <v>Gestion des fournisseurs de services</v>
      </c>
      <c r="D123" s="8" t="str" cm="1">
        <f t="array" aca="1" ref="D123" ca="1">INDIRECT("tbl_REF_CIS_Safeguards[@Title"&amp;DocumentLanguage&amp;"]")</f>
        <v>Veiller à ce que les contrats des fournisseurs de services incluent des exigences en matière de sécurité</v>
      </c>
      <c r="E123" s="8" t="str" cm="1">
        <f t="array" aca="1" ref="E123" ca="1">INDIRECT("tbl_REF_CIS_Safeguards[@Description"&amp;DocumentLanguage&amp;"]")</f>
        <v>Veiller à ce que les contrats des fournisseurs de services contiennent des exigences en matière de sécurité. Il peut s'agir, par exemple, d'exigences minimales en matière de programme de sécurité, de notification et d'intervention en cas d'incident de sécurité et/ou de violation des données, d'exigences en matière de cryptage des données et d'engagements en matière d'élimination des données. Ces exigences de sécurité doivent être compatibles avec la politique de gestion des prestataires de services de l'entreprise. Examiner chaque année les contrats des prestataires de services pour s'assurer qu'ils ne comportent pas d'exigences en matière de sécurité.</v>
      </c>
      <c r="F123" s="8" t="str" cm="1">
        <f t="array" aca="1" ref="F123" ca="1">INDIRECT("tbl_REF_CIS_Safeguards[@Comment"&amp;DocumentLanguage&amp;"]")</f>
        <v/>
      </c>
      <c r="G123" t="s">
        <v>17</v>
      </c>
      <c r="H123" s="8"/>
      <c r="I123" s="92" cm="1">
        <f t="array" aca="1" ref="I123"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23" s="8">
        <f ca="1">IF(tbl_Safeguards[[#This Row],[En place
In place]]&lt;&gt;"N/A",_xlfn.XLOOKUP(tbl_Safeguards[[#This Row],[IG
IG]],tbl_safeguardWeightIG[IG],tbl_safeguardWeightIG[Weight]),"")</f>
        <v>0.75</v>
      </c>
      <c r="K123" s="8" cm="1">
        <f t="array" aca="1" ref="K12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24" spans="1:11" ht="150" hidden="1">
      <c r="A124" t="str">
        <f>tbl_REF_CIS_Safeguards[[#This Row],[SafeguardID]]</f>
        <v>15.05</v>
      </c>
      <c r="B124">
        <f>tbl_REF_CIS_Safeguards[[#This Row],[ControlID]]</f>
        <v>15</v>
      </c>
      <c r="C124" s="8" t="str" cm="1">
        <f t="array" aca="1" ref="C124" ca="1">_xlfn.XLOOKUP(tbl_Safeguards[[#This Row],[ControlID]],tbl_REF_CIS_Controls[ControlID],INDIRECT("tbl_REF_CIS_Controls[ControlName"&amp;DocumentLanguage&amp;"]"))</f>
        <v>Gestion des fournisseurs de services</v>
      </c>
      <c r="D124" s="8" t="str" cm="1">
        <f t="array" aca="1" ref="D124" ca="1">INDIRECT("tbl_REF_CIS_Safeguards[@Title"&amp;DocumentLanguage&amp;"]")</f>
        <v>Évaluer les prestataires de services</v>
      </c>
      <c r="E124" s="8" t="str" cm="1">
        <f t="array" aca="1" ref="E124" ca="1">INDIRECT("tbl_REF_CIS_Safeguards[@Description"&amp;DocumentLanguage&amp;"]")</f>
        <v>Évaluer les fournisseurs de services conformément à la politique de gestion des fournisseurs de services de l'entreprise. La portée de l'évaluation peut varier en fonction de la (des) classification(s) et peut inclure l'examen de rapports d'évaluation normalisés, tels que Service Organization Control 2 (SOC 2) et Payment Card Industry (PCI) Attestation of Compliance (AoC), des questionnaires personnalisés ou d'autres processus rigoureux appropriés. Réévaluer les fournisseurs de services au moins une fois par an, ou lors de la signature de nouveaux contrats ou du renouvellement de contrats existants.</v>
      </c>
      <c r="F124" s="8" t="str" cm="1">
        <f t="array" aca="1" ref="F124" ca="1">INDIRECT("tbl_REF_CIS_Safeguards[@Comment"&amp;DocumentLanguage&amp;"]")</f>
        <v/>
      </c>
      <c r="G124" t="s">
        <v>17</v>
      </c>
      <c r="H124" s="8"/>
      <c r="I124" s="92" cm="1">
        <f t="array" aca="1" ref="I124"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24" s="8">
        <f ca="1">IF(tbl_Safeguards[[#This Row],[En place
In place]]&lt;&gt;"N/A",_xlfn.XLOOKUP(tbl_Safeguards[[#This Row],[IG
IG]],tbl_safeguardWeightIG[IG],tbl_safeguardWeightIG[Weight]),"")</f>
        <v>0.5</v>
      </c>
      <c r="K124" s="8" cm="1">
        <f t="array" aca="1" ref="K12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0.5</v>
      </c>
    </row>
    <row r="125" spans="1:11" ht="75" hidden="1">
      <c r="A125" t="str">
        <f>tbl_REF_CIS_Safeguards[[#This Row],[SafeguardID]]</f>
        <v>15.06</v>
      </c>
      <c r="B125">
        <f>tbl_REF_CIS_Safeguards[[#This Row],[ControlID]]</f>
        <v>15</v>
      </c>
      <c r="C125" s="8" t="str" cm="1">
        <f t="array" aca="1" ref="C125" ca="1">_xlfn.XLOOKUP(tbl_Safeguards[[#This Row],[ControlID]],tbl_REF_CIS_Controls[ControlID],INDIRECT("tbl_REF_CIS_Controls[ControlName"&amp;DocumentLanguage&amp;"]"))</f>
        <v>Gestion des fournisseurs de services</v>
      </c>
      <c r="D125" s="8" t="str" cm="1">
        <f t="array" aca="1" ref="D125" ca="1">INDIRECT("tbl_REF_CIS_Safeguards[@Title"&amp;DocumentLanguage&amp;"]")</f>
        <v>Contrôler les prestataires de services</v>
      </c>
      <c r="E125" s="8" t="str" cm="1">
        <f t="array" aca="1" ref="E125" ca="1">INDIRECT("tbl_REF_CIS_Safeguards[@Description"&amp;DocumentLanguage&amp;"]")</f>
        <v>Contrôler les fournisseurs de services conformément à la politique de gestion des fournisseurs de services de l'entreprise. Le contrôle peut comprendre une réévaluation périodique de la conformité du fournisseur de services, la surveillance des notes de mise à jour du fournisseur de services et la surveillance du dark web.</v>
      </c>
      <c r="F125" s="8" t="str" cm="1">
        <f t="array" aca="1" ref="F125" ca="1">INDIRECT("tbl_REF_CIS_Safeguards[@Comment"&amp;DocumentLanguage&amp;"]")</f>
        <v/>
      </c>
      <c r="G125" t="s">
        <v>17</v>
      </c>
      <c r="H125" s="8"/>
      <c r="I125" s="92" cm="1">
        <f t="array" aca="1" ref="I125"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25" s="8">
        <f ca="1">IF(tbl_Safeguards[[#This Row],[En place
In place]]&lt;&gt;"N/A",_xlfn.XLOOKUP(tbl_Safeguards[[#This Row],[IG
IG]],tbl_safeguardWeightIG[IG],tbl_safeguardWeightIG[Weight]),"")</f>
        <v>0.5</v>
      </c>
      <c r="K125" s="8" cm="1">
        <f t="array" aca="1" ref="K12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0.5</v>
      </c>
    </row>
    <row r="126" spans="1:11" ht="75" hidden="1">
      <c r="A126" t="str">
        <f>tbl_REF_CIS_Safeguards[[#This Row],[SafeguardID]]</f>
        <v>15.07</v>
      </c>
      <c r="B126">
        <f>tbl_REF_CIS_Safeguards[[#This Row],[ControlID]]</f>
        <v>15</v>
      </c>
      <c r="C126" s="8" t="str" cm="1">
        <f t="array" aca="1" ref="C126" ca="1">_xlfn.XLOOKUP(tbl_Safeguards[[#This Row],[ControlID]],tbl_REF_CIS_Controls[ControlID],INDIRECT("tbl_REF_CIS_Controls[ControlName"&amp;DocumentLanguage&amp;"]"))</f>
        <v>Gestion des fournisseurs de services</v>
      </c>
      <c r="D126" s="8" t="str" cm="1">
        <f t="array" aca="1" ref="D126" ca="1">INDIRECT("tbl_REF_CIS_Safeguards[@Title"&amp;DocumentLanguage&amp;"]")</f>
        <v>Déclasser les fournisseurs de services en toute sécurité</v>
      </c>
      <c r="E126" s="8" t="str" cm="1">
        <f t="array" aca="1" ref="E126" ca="1">INDIRECT("tbl_REF_CIS_Safeguards[@Description"&amp;DocumentLanguage&amp;"]")</f>
        <v>Mettre hors service les fournisseurs de services en toute sécurité. Parmi les exemples à prendre en compte, on peut citer la désactivation des comptes d'utilisateurs et de services, l'arrêt des flux de données et l'élimination sécurisée des données de l'entreprise dans les systèmes des fournisseurs de services.</v>
      </c>
      <c r="F126" s="8" t="str" cm="1">
        <f t="array" aca="1" ref="F126" ca="1">INDIRECT("tbl_REF_CIS_Safeguards[@Comment"&amp;DocumentLanguage&amp;"]")</f>
        <v/>
      </c>
      <c r="G126" t="s">
        <v>17</v>
      </c>
      <c r="H126" s="8"/>
      <c r="I126" s="92" cm="1">
        <f t="array" aca="1" ref="I126"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26" s="8">
        <f ca="1">IF(tbl_Safeguards[[#This Row],[En place
In place]]&lt;&gt;"N/A",_xlfn.XLOOKUP(tbl_Safeguards[[#This Row],[IG
IG]],tbl_safeguardWeightIG[IG],tbl_safeguardWeightIG[Weight]),"")</f>
        <v>0.5</v>
      </c>
      <c r="K126" s="8" cm="1">
        <f t="array" aca="1" ref="K12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0.5</v>
      </c>
    </row>
    <row r="127" spans="1:11" ht="150" hidden="1">
      <c r="A127" t="str">
        <f>tbl_REF_CIS_Safeguards[[#This Row],[SafeguardID]]</f>
        <v>16.01</v>
      </c>
      <c r="B127">
        <f>tbl_REF_CIS_Safeguards[[#This Row],[ControlID]]</f>
        <v>16</v>
      </c>
      <c r="C127" s="8" t="str" cm="1">
        <f t="array" aca="1" ref="C127" ca="1">_xlfn.XLOOKUP(tbl_Safeguards[[#This Row],[ControlID]],tbl_REF_CIS_Controls[ControlID],INDIRECT("tbl_REF_CIS_Controls[ControlName"&amp;DocumentLanguage&amp;"]"))</f>
        <v>Sécurité des logiciels et Applications</v>
      </c>
      <c r="D127" s="8" t="str" cm="1">
        <f t="array" aca="1" ref="D127" ca="1">INDIRECT("tbl_REF_CIS_Safeguards[@Title"&amp;DocumentLanguage&amp;"]")</f>
        <v>Établir et maintenir un processus de développement d'applications sécurisé</v>
      </c>
      <c r="E127" s="8" t="str" cm="1">
        <f t="array" aca="1" ref="E127" ca="1">INDIRECT("tbl_REF_CIS_Safeguards[@Description"&amp;DocumentLanguage&amp;"]")</f>
        <v>Établir et maintenir un processus de développement d'applications sécurisées. Dans le cadre de ce processus, des éléments tels que les normes de conception d'applications sécurisées, les pratiques de codage sécurisées, la formation des développeurs, la gestion des vulnérabilités, la sécurité des codes tiers et les procédures de test de la sécurité des applications doivent être pris en compte. Réviser et mettre à jour la documentation chaque année, ou lorsque des changements importants interviennent dans l'entreprise et pourraient avoir une incidence sur cette mesure de sauvegarde.</v>
      </c>
      <c r="F127" s="8" t="str" cm="1">
        <f t="array" aca="1" ref="F127" ca="1">INDIRECT("tbl_REF_CIS_Safeguards[@Comment"&amp;DocumentLanguage&amp;"]")</f>
        <v/>
      </c>
      <c r="G127" t="s">
        <v>107</v>
      </c>
      <c r="H127" s="8"/>
      <c r="I127" s="92" cm="1">
        <f t="array" aca="1" ref="I127"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27" s="8" t="str">
        <f ca="1">IF(tbl_Safeguards[[#This Row],[En place
In place]]&lt;&gt;"N/A",_xlfn.XLOOKUP(tbl_Safeguards[[#This Row],[IG
IG]],tbl_safeguardWeightIG[IG],tbl_safeguardWeightIG[Weight]),"")</f>
        <v/>
      </c>
      <c r="K127" s="8" t="str" cm="1">
        <f t="array" aca="1" ref="K12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28" spans="1:11" ht="285" hidden="1">
      <c r="A128" t="str">
        <f>tbl_REF_CIS_Safeguards[[#This Row],[SafeguardID]]</f>
        <v>16.02</v>
      </c>
      <c r="B128">
        <f>tbl_REF_CIS_Safeguards[[#This Row],[ControlID]]</f>
        <v>16</v>
      </c>
      <c r="C128" s="8" t="str" cm="1">
        <f t="array" aca="1" ref="C128" ca="1">_xlfn.XLOOKUP(tbl_Safeguards[[#This Row],[ControlID]],tbl_REF_CIS_Controls[ControlID],INDIRECT("tbl_REF_CIS_Controls[ControlName"&amp;DocumentLanguage&amp;"]"))</f>
        <v>Sécurité des logiciels et Applications</v>
      </c>
      <c r="D128" s="8" t="str" cm="1">
        <f t="array" aca="1" ref="D128" ca="1">INDIRECT("tbl_REF_CIS_Safeguards[@Title"&amp;DocumentLanguage&amp;"]")</f>
        <v>Établir et maintenir un processus d'acceptation et de traitement des vulnérabilités des logiciels</v>
      </c>
      <c r="E128" s="8" t="str" cm="1">
        <f t="array" aca="1" ref="E128" ca="1">INDIRECT("tbl_REF_CIS_Safeguards[@Description"&amp;DocumentLanguage&amp;"]")</f>
        <v>Établir et maintenir un processus pour accepter et traiter les rapports sur les vulnérabilités des logiciels, y compris en fournissant un moyen pour les entités externes de faire des rapports. Le processus doit comprendre des éléments tels que : une politique de traitement des vulnérabilités qui identifie le processus de signalement, la partie responsable du traitement des signalements de vulnérabilités et un processus de réception, d'attribution, de remédiation et de test de remédiation. Dans le cadre de ce processus, il convient d'utiliser un système de suivi des vulnérabilités comprenant des niveaux de gravité et des mesures permettant d'évaluer le temps nécessaire à l'identification, à l'analyse et à la correction des vulnérabilités. Réviser et mettre à jour la documentation chaque année, ou lorsque des changements importants interviennent dans l'entreprise et pourraient avoir une incidence sur cette mesure de sauvegarde. 
Les développeurs d'applications tierces doivent considérer qu'il s'agit d'une politique orientée vers l'extérieur qui contribue à définir les attentes des parties prenantes externes.</v>
      </c>
      <c r="F128" s="8" t="str" cm="1">
        <f t="array" aca="1" ref="F128" ca="1">INDIRECT("tbl_REF_CIS_Safeguards[@Comment"&amp;DocumentLanguage&amp;"]")</f>
        <v/>
      </c>
      <c r="G128" t="s">
        <v>17</v>
      </c>
      <c r="H128" s="8"/>
      <c r="I128" s="92" cm="1">
        <f t="array" aca="1" ref="I128"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28" s="8">
        <f ca="1">IF(tbl_Safeguards[[#This Row],[En place
In place]]&lt;&gt;"N/A",_xlfn.XLOOKUP(tbl_Safeguards[[#This Row],[IG
IG]],tbl_safeguardWeightIG[IG],tbl_safeguardWeightIG[Weight]),"")</f>
        <v>0.75</v>
      </c>
      <c r="K128" s="8" cm="1">
        <f t="array" aca="1" ref="K12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29" spans="1:11" ht="105" hidden="1">
      <c r="A129" t="str">
        <f>tbl_REF_CIS_Safeguards[[#This Row],[SafeguardID]]</f>
        <v>16.03</v>
      </c>
      <c r="B129">
        <f>tbl_REF_CIS_Safeguards[[#This Row],[ControlID]]</f>
        <v>16</v>
      </c>
      <c r="C129" s="8" t="str" cm="1">
        <f t="array" aca="1" ref="C129" ca="1">_xlfn.XLOOKUP(tbl_Safeguards[[#This Row],[ControlID]],tbl_REF_CIS_Controls[ControlID],INDIRECT("tbl_REF_CIS_Controls[ControlName"&amp;DocumentLanguage&amp;"]"))</f>
        <v>Sécurité des logiciels et Applications</v>
      </c>
      <c r="D129" s="8" t="str" cm="1">
        <f t="array" aca="1" ref="D129" ca="1">INDIRECT("tbl_REF_CIS_Safeguards[@Title"&amp;DocumentLanguage&amp;"]")</f>
        <v>Effectuer une analyse des causes profondes des vulnérabilités en matière de sécurité</v>
      </c>
      <c r="E129" s="8" t="str" cm="1">
        <f t="array" aca="1" ref="E129" ca="1">INDIRECT("tbl_REF_CIS_Safeguards[@Description"&amp;DocumentLanguage&amp;"]")</f>
        <v>Effectuer une analyse des causes profondes des failles de sécurité. Lors de l'examen des vulnérabilités, l'analyse des causes profondes consiste à évaluer les problèmes sous-jacents qui créent des vulnérabilités dans le code, et permet aux équipes de développement d'aller au-delà de la simple correction des vulnérabilités individuelles au fur et à mesure qu'elles se présentent.</v>
      </c>
      <c r="F129" s="8" t="str" cm="1">
        <f t="array" aca="1" ref="F129" ca="1">INDIRECT("tbl_REF_CIS_Safeguards[@Comment"&amp;DocumentLanguage&amp;"]")</f>
        <v/>
      </c>
      <c r="G129" t="s">
        <v>17</v>
      </c>
      <c r="H129" s="8" t="s">
        <v>142</v>
      </c>
      <c r="I129" s="92" cm="1">
        <f t="array" aca="1" ref="I129"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29" s="8">
        <f ca="1">IF(tbl_Safeguards[[#This Row],[En place
In place]]&lt;&gt;"N/A",_xlfn.XLOOKUP(tbl_Safeguards[[#This Row],[IG
IG]],tbl_safeguardWeightIG[IG],tbl_safeguardWeightIG[Weight]),"")</f>
        <v>0.75</v>
      </c>
      <c r="K129" s="8" cm="1">
        <f t="array" aca="1" ref="K12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30" spans="1:11" ht="105" hidden="1">
      <c r="A130" t="str">
        <f>tbl_REF_CIS_Safeguards[[#This Row],[SafeguardID]]</f>
        <v>16.04</v>
      </c>
      <c r="B130">
        <f>tbl_REF_CIS_Safeguards[[#This Row],[ControlID]]</f>
        <v>16</v>
      </c>
      <c r="C130" s="8" t="str" cm="1">
        <f t="array" aca="1" ref="C130" ca="1">_xlfn.XLOOKUP(tbl_Safeguards[[#This Row],[ControlID]],tbl_REF_CIS_Controls[ControlID],INDIRECT("tbl_REF_CIS_Controls[ControlName"&amp;DocumentLanguage&amp;"]"))</f>
        <v>Sécurité des logiciels et Applications</v>
      </c>
      <c r="D130" s="8" t="str" cm="1">
        <f t="array" aca="1" ref="D130" ca="1">INDIRECT("tbl_REF_CIS_Safeguards[@Title"&amp;DocumentLanguage&amp;"]")</f>
        <v>Établir et gérer un inventaire des composants logiciels tiers</v>
      </c>
      <c r="E130" s="8" t="str" cm="1">
        <f t="array" aca="1" ref="E130" ca="1">INDIRECT("tbl_REF_CIS_Safeguards[@Description"&amp;DocumentLanguage&amp;"]")</f>
        <v>Établir et gérer un inventaire actualisé des composants tiers utilisés dans le cadre du développement, souvent appelé « nomenclature », ainsi que des composants dont l'utilisation est prévue à l'avenir. Cet inventaire doit inclure tous les risques que chaque composant tiers pourrait présenter. Évaluer la liste au moins une fois par mois afin d'identifier tout changement ou toute mise à jour de ces composants et de s'assurer qu'ils sont toujours pris en charge.</v>
      </c>
      <c r="F130" s="8" t="str" cm="1">
        <f t="array" aca="1" ref="F130" ca="1">INDIRECT("tbl_REF_CIS_Safeguards[@Comment"&amp;DocumentLanguage&amp;"]")</f>
        <v/>
      </c>
      <c r="G130" t="s">
        <v>17</v>
      </c>
      <c r="H130" s="8" t="s">
        <v>143</v>
      </c>
      <c r="I130" s="92" cm="1">
        <f t="array" aca="1" ref="I130"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30" s="8">
        <f ca="1">IF(tbl_Safeguards[[#This Row],[En place
In place]]&lt;&gt;"N/A",_xlfn.XLOOKUP(tbl_Safeguards[[#This Row],[IG
IG]],tbl_safeguardWeightIG[IG],tbl_safeguardWeightIG[Weight]),"")</f>
        <v>0.75</v>
      </c>
      <c r="K130" s="8" cm="1">
        <f t="array" aca="1" ref="K13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31" spans="1:11" ht="102" hidden="1" customHeight="1">
      <c r="A131" t="str">
        <f>tbl_REF_CIS_Safeguards[[#This Row],[SafeguardID]]</f>
        <v>16.05</v>
      </c>
      <c r="B131">
        <f>tbl_REF_CIS_Safeguards[[#This Row],[ControlID]]</f>
        <v>16</v>
      </c>
      <c r="C131" s="8" t="str" cm="1">
        <f t="array" aca="1" ref="C131" ca="1">_xlfn.XLOOKUP(tbl_Safeguards[[#This Row],[ControlID]],tbl_REF_CIS_Controls[ControlID],INDIRECT("tbl_REF_CIS_Controls[ControlName"&amp;DocumentLanguage&amp;"]"))</f>
        <v>Sécurité des logiciels et Applications</v>
      </c>
      <c r="D131" s="8" t="str" cm="1">
        <f t="array" aca="1" ref="D131" ca="1">INDIRECT("tbl_REF_CIS_Safeguards[@Title"&amp;DocumentLanguage&amp;"]")</f>
        <v>Utiliser des composants logiciels tiers actualisés et fiables</v>
      </c>
      <c r="E131" s="8" t="str" cm="1">
        <f t="array" aca="1" ref="E131" ca="1">INDIRECT("tbl_REF_CIS_Safeguards[@Description"&amp;DocumentLanguage&amp;"]")</f>
        <v>Utiliser des composants logiciels tiers actualisés et fiables. Dans la mesure du possible, choisissez des cadres et des bibliothèques établis et éprouvés qui offrent une sécurité adéquate. Acquérir ces composants auprès de sources fiables ou évaluer les vulnérabilités du logiciel avant de l'utiliser.</v>
      </c>
      <c r="F131" s="8" t="str" cm="1">
        <f t="array" aca="1" ref="F131" ca="1">INDIRECT("tbl_REF_CIS_Safeguards[@Comment"&amp;DocumentLanguage&amp;"]")</f>
        <v/>
      </c>
      <c r="G131" t="s">
        <v>17</v>
      </c>
      <c r="H131" s="8" t="s">
        <v>142</v>
      </c>
      <c r="I131" s="92" cm="1">
        <f t="array" aca="1" ref="I131"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31" s="8">
        <f ca="1">IF(tbl_Safeguards[[#This Row],[En place
In place]]&lt;&gt;"N/A",_xlfn.XLOOKUP(tbl_Safeguards[[#This Row],[IG
IG]],tbl_safeguardWeightIG[IG],tbl_safeguardWeightIG[Weight]),"")</f>
        <v>0.75</v>
      </c>
      <c r="K131" s="8" cm="1">
        <f t="array" aca="1" ref="K13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32" spans="1:11" ht="150" hidden="1">
      <c r="A132" t="str">
        <f>tbl_REF_CIS_Safeguards[[#This Row],[SafeguardID]]</f>
        <v>16.06</v>
      </c>
      <c r="B132">
        <f>tbl_REF_CIS_Safeguards[[#This Row],[ControlID]]</f>
        <v>16</v>
      </c>
      <c r="C132" s="8" t="str" cm="1">
        <f t="array" aca="1" ref="C132" ca="1">_xlfn.XLOOKUP(tbl_Safeguards[[#This Row],[ControlID]],tbl_REF_CIS_Controls[ControlID],INDIRECT("tbl_REF_CIS_Controls[ControlName"&amp;DocumentLanguage&amp;"]"))</f>
        <v>Sécurité des logiciels et Applications</v>
      </c>
      <c r="D132" s="8" t="str" cm="1">
        <f t="array" aca="1" ref="D132" ca="1">INDIRECT("tbl_REF_CIS_Safeguards[@Title"&amp;DocumentLanguage&amp;"]")</f>
        <v>Établir et maintenir un système et un processus d'évaluation de la gravité des vulnérabilités des applications</v>
      </c>
      <c r="E132" s="8" t="str" cm="1">
        <f t="array" aca="1" ref="E132" ca="1">INDIRECT("tbl_REF_CIS_Safeguards[@Description"&amp;DocumentLanguage&amp;"]")</f>
        <v>Établir et maintenir un système et un processus d'évaluation de la gravité des vulnérabilités des applications qui facilite la hiérarchisation de l'ordre dans lequel les vulnérabilités découvertes sont corrigées. Ce processus comprend la fixation d'un niveau minimum de sécurité acceptable pour la publication du code ou des applications. L'évaluation de la gravité permet de trier les vulnérabilités de manière systématique, ce qui améliore la gestion des risques et contribue à garantir que les bogues les plus graves sont corrigés en premier. Examiner et mettre à jour le système et le processus chaque année.</v>
      </c>
      <c r="F132" s="8" t="str" cm="1">
        <f t="array" aca="1" ref="F132" ca="1">INDIRECT("tbl_REF_CIS_Safeguards[@Comment"&amp;DocumentLanguage&amp;"]")</f>
        <v/>
      </c>
      <c r="G132" t="s">
        <v>17</v>
      </c>
      <c r="H132" s="8"/>
      <c r="I132" s="92" cm="1">
        <f t="array" aca="1" ref="I132"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32" s="8">
        <f ca="1">IF(tbl_Safeguards[[#This Row],[En place
In place]]&lt;&gt;"N/A",_xlfn.XLOOKUP(tbl_Safeguards[[#This Row],[IG
IG]],tbl_safeguardWeightIG[IG],tbl_safeguardWeightIG[Weight]),"")</f>
        <v>0.75</v>
      </c>
      <c r="K132" s="8" cm="1">
        <f t="array" aca="1" ref="K13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33" spans="1:11" ht="105" hidden="1">
      <c r="A133" t="str">
        <f>tbl_REF_CIS_Safeguards[[#This Row],[SafeguardID]]</f>
        <v>16.07</v>
      </c>
      <c r="B133">
        <f>tbl_REF_CIS_Safeguards[[#This Row],[ControlID]]</f>
        <v>16</v>
      </c>
      <c r="C133" s="8" t="str" cm="1">
        <f t="array" aca="1" ref="C133" ca="1">_xlfn.XLOOKUP(tbl_Safeguards[[#This Row],[ControlID]],tbl_REF_CIS_Controls[ControlID],INDIRECT("tbl_REF_CIS_Controls[ControlName"&amp;DocumentLanguage&amp;"]"))</f>
        <v>Sécurité des logiciels et Applications</v>
      </c>
      <c r="D133" s="8" t="str" cm="1">
        <f t="array" aca="1" ref="D133" ca="1">INDIRECT("tbl_REF_CIS_Safeguards[@Title"&amp;DocumentLanguage&amp;"]")</f>
        <v>Utiliser des modèles de configuration de renforcement standard pour l'infrastructure d'application</v>
      </c>
      <c r="E133" s="8" t="str" cm="1">
        <f t="array" aca="1" ref="E133" ca="1">INDIRECT("tbl_REF_CIS_Safeguards[@Description"&amp;DocumentLanguage&amp;"]")</f>
        <v>Utilisez des modèles de configuration de renforcement standard et recommandés par l'industrie pour les composants de l'infrastructure applicative. Cela inclut les serveurs sous-jacents, les bases de données et les serveurs web, et s'applique aux conteneurs cloud, aux composants PaaS (Platform as a Service) et aux composants SaaS. Ne laissez pas les logiciels développés en interne affaiblir le renforcement de la configuration.</v>
      </c>
      <c r="F133" s="8" t="str" cm="1">
        <f t="array" aca="1" ref="F133" ca="1">INDIRECT("tbl_REF_CIS_Safeguards[@Comment"&amp;DocumentLanguage&amp;"]")</f>
        <v/>
      </c>
      <c r="G133" t="s">
        <v>17</v>
      </c>
      <c r="H133" s="8" t="s">
        <v>142</v>
      </c>
      <c r="I133" s="92" cm="1">
        <f t="array" aca="1" ref="I133"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33" s="8">
        <f ca="1">IF(tbl_Safeguards[[#This Row],[En place
In place]]&lt;&gt;"N/A",_xlfn.XLOOKUP(tbl_Safeguards[[#This Row],[IG
IG]],tbl_safeguardWeightIG[IG],tbl_safeguardWeightIG[Weight]),"")</f>
        <v>0.75</v>
      </c>
      <c r="K133" s="8" cm="1">
        <f t="array" aca="1" ref="K13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34" spans="1:11" ht="30" hidden="1">
      <c r="A134" t="str">
        <f>tbl_REF_CIS_Safeguards[[#This Row],[SafeguardID]]</f>
        <v>16.08</v>
      </c>
      <c r="B134">
        <f>tbl_REF_CIS_Safeguards[[#This Row],[ControlID]]</f>
        <v>16</v>
      </c>
      <c r="C134" s="8" t="str" cm="1">
        <f t="array" aca="1" ref="C134" ca="1">_xlfn.XLOOKUP(tbl_Safeguards[[#This Row],[ControlID]],tbl_REF_CIS_Controls[ControlID],INDIRECT("tbl_REF_CIS_Controls[ControlName"&amp;DocumentLanguage&amp;"]"))</f>
        <v>Sécurité des logiciels et Applications</v>
      </c>
      <c r="D134" s="8" t="str" cm="1">
        <f t="array" aca="1" ref="D134" ca="1">INDIRECT("tbl_REF_CIS_Safeguards[@Title"&amp;DocumentLanguage&amp;"]")</f>
        <v>Séparer les systèmes de production et de non-production</v>
      </c>
      <c r="E134" s="8" t="str" cm="1">
        <f t="array" aca="1" ref="E134" ca="1">INDIRECT("tbl_REF_CIS_Safeguards[@Description"&amp;DocumentLanguage&amp;"]")</f>
        <v>Maintenir des environnements distincts pour les systèmes de production et de non-production.</v>
      </c>
      <c r="F134" s="8" t="str" cm="1">
        <f t="array" aca="1" ref="F134" ca="1">INDIRECT("tbl_REF_CIS_Safeguards[@Comment"&amp;DocumentLanguage&amp;"]")</f>
        <v/>
      </c>
      <c r="G134" t="s">
        <v>17</v>
      </c>
      <c r="H134" s="8"/>
      <c r="I134" s="92" cm="1">
        <f t="array" aca="1" ref="I134"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34" s="8">
        <f ca="1">IF(tbl_Safeguards[[#This Row],[En place
In place]]&lt;&gt;"N/A",_xlfn.XLOOKUP(tbl_Safeguards[[#This Row],[IG
IG]],tbl_safeguardWeightIG[IG],tbl_safeguardWeightIG[Weight]),"")</f>
        <v>0.75</v>
      </c>
      <c r="K134" s="8" cm="1">
        <f t="array" aca="1" ref="K13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35" spans="1:11" ht="135" hidden="1">
      <c r="A135" t="str">
        <f>tbl_REF_CIS_Safeguards[[#This Row],[SafeguardID]]</f>
        <v>16.09</v>
      </c>
      <c r="B135">
        <f>tbl_REF_CIS_Safeguards[[#This Row],[ControlID]]</f>
        <v>16</v>
      </c>
      <c r="C135" s="8" t="str" cm="1">
        <f t="array" aca="1" ref="C135" ca="1">_xlfn.XLOOKUP(tbl_Safeguards[[#This Row],[ControlID]],tbl_REF_CIS_Controls[ControlID],INDIRECT("tbl_REF_CIS_Controls[ControlName"&amp;DocumentLanguage&amp;"]"))</f>
        <v>Sécurité des logiciels et Applications</v>
      </c>
      <c r="D135" s="8" t="str" cm="1">
        <f t="array" aca="1" ref="D135" ca="1">INDIRECT("tbl_REF_CIS_Safeguards[@Title"&amp;DocumentLanguage&amp;"]")</f>
        <v>Former les développeurs aux concepts de sécurité des applications et au codage sécurisé</v>
      </c>
      <c r="E135" s="8" t="str" cm="1">
        <f t="array" aca="1" ref="E135" ca="1">INDIRECT("tbl_REF_CIS_Safeguards[@Description"&amp;DocumentLanguage&amp;"]")</f>
        <v>Veiller à ce que l'ensemble du personnel chargé du développement des logiciels reçoive une formation à l'écriture d'un code sécurisé pour son environnement de développement spécifique et ses responsabilités. La formation peut porter sur les principes généraux de sécurité et sur les pratiques standard en matière de sécurité des applications. Organiser la formation au moins une fois par an et la concevoir de manière à promouvoir la sécurité au sein de l'équipe de développement et à instaurer une culture de la sécurité parmi les développeurs.</v>
      </c>
      <c r="F135" s="8" t="str" cm="1">
        <f t="array" aca="1" ref="F135" ca="1">INDIRECT("tbl_REF_CIS_Safeguards[@Comment"&amp;DocumentLanguage&amp;"]")</f>
        <v/>
      </c>
      <c r="G135" t="s">
        <v>107</v>
      </c>
      <c r="H135" s="8" t="s">
        <v>144</v>
      </c>
      <c r="I135" s="92" cm="1">
        <f t="array" aca="1" ref="I135"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35" s="8" t="str">
        <f ca="1">IF(tbl_Safeguards[[#This Row],[En place
In place]]&lt;&gt;"N/A",_xlfn.XLOOKUP(tbl_Safeguards[[#This Row],[IG
IG]],tbl_safeguardWeightIG[IG],tbl_safeguardWeightIG[Weight]),"")</f>
        <v/>
      </c>
      <c r="K135" s="8" t="str" cm="1">
        <f t="array" aca="1" ref="K13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36" spans="1:11" ht="210" hidden="1">
      <c r="A136" t="str">
        <f>tbl_REF_CIS_Safeguards[[#This Row],[SafeguardID]]</f>
        <v>16.10</v>
      </c>
      <c r="B136">
        <f>tbl_REF_CIS_Safeguards[[#This Row],[ControlID]]</f>
        <v>16</v>
      </c>
      <c r="C136" s="8" t="str" cm="1">
        <f t="array" aca="1" ref="C136" ca="1">_xlfn.XLOOKUP(tbl_Safeguards[[#This Row],[ControlID]],tbl_REF_CIS_Controls[ControlID],INDIRECT("tbl_REF_CIS_Controls[ControlName"&amp;DocumentLanguage&amp;"]"))</f>
        <v>Sécurité des logiciels et Applications</v>
      </c>
      <c r="D136" s="8" t="str" cm="1">
        <f t="array" aca="1" ref="D136" ca="1">INDIRECT("tbl_REF_CIS_Safeguards[@Title"&amp;DocumentLanguage&amp;"]")</f>
        <v>Appliquer les principes de conception sécurisée dans les architectures d'application</v>
      </c>
      <c r="E136" s="8" t="str" cm="1">
        <f t="array" aca="1" ref="E136" ca="1">INDIRECT("tbl_REF_CIS_Safeguards[@Description"&amp;DocumentLanguage&amp;"]")</f>
        <v>Appliquer des principes de conception sécurisés dans les architectures d'application. Les principes de conception sécurisée comprennent le concept du moindre privilège et l'application de la médiation pour valider chaque opération effectuée par l'utilisateur, en promouvant le concept de "ne jamais faire confiance à l'entrée de l'utilisateur". Il s'agit par exemple de s'assurer qu'une vérification explicite des erreurs est effectuée et documentée pour toutes les entrées, notamment en ce qui concerne la taille, le type de données et les plages ou formats acceptables. La conception sécurisée implique également de minimiser la surface d'attaque de l'infrastructure de l'application, par exemple en désactivant les ports et les services non protégés, en supprimant les programmes et les fichiers inutiles et en renommant ou en supprimant les comptes par défaut.</v>
      </c>
      <c r="F136" s="8" t="str" cm="1">
        <f t="array" aca="1" ref="F136" ca="1">INDIRECT("tbl_REF_CIS_Safeguards[@Comment"&amp;DocumentLanguage&amp;"]")</f>
        <v/>
      </c>
      <c r="G136" t="s">
        <v>107</v>
      </c>
      <c r="H136" s="8"/>
      <c r="I136" s="92" cm="1">
        <f t="array" aca="1" ref="I136"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36" s="8" t="str">
        <f ca="1">IF(tbl_Safeguards[[#This Row],[En place
In place]]&lt;&gt;"N/A",_xlfn.XLOOKUP(tbl_Safeguards[[#This Row],[IG
IG]],tbl_safeguardWeightIG[IG],tbl_safeguardWeightIG[Weight]),"")</f>
        <v/>
      </c>
      <c r="K136" s="8" t="str" cm="1">
        <f t="array" aca="1" ref="K13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37" spans="1:11" ht="180" hidden="1">
      <c r="A137" t="str">
        <f>tbl_REF_CIS_Safeguards[[#This Row],[SafeguardID]]</f>
        <v>16.11</v>
      </c>
      <c r="B137">
        <f>tbl_REF_CIS_Safeguards[[#This Row],[ControlID]]</f>
        <v>16</v>
      </c>
      <c r="C137" s="8" t="str" cm="1">
        <f t="array" aca="1" ref="C137" ca="1">_xlfn.XLOOKUP(tbl_Safeguards[[#This Row],[ControlID]],tbl_REF_CIS_Controls[ControlID],INDIRECT("tbl_REF_CIS_Controls[ControlName"&amp;DocumentLanguage&amp;"]"))</f>
        <v>Sécurité des logiciels et Applications</v>
      </c>
      <c r="D137" s="8" t="str" cm="1">
        <f t="array" aca="1" ref="D137" ca="1">INDIRECT("tbl_REF_CIS_Safeguards[@Title"&amp;DocumentLanguage&amp;"]")</f>
        <v>Tirez parti des modules ou services approuvés pour les composants de sécurité des applications</v>
      </c>
      <c r="E137" s="8" t="str" cm="1">
        <f t="array" aca="1" ref="E137" ca="1">INDIRECT("tbl_REF_CIS_Safeguards[@Description"&amp;DocumentLanguage&amp;"]")</f>
        <v>Exploitez des modules ou services approuvés pour les composants de sécurité des applications, tels que la gestion des identités, le chiffrement, l'audit et la journalisation. L'utilisation de fonctionnalités de plateforme dans les fonctions de sécurité critiques réduira la charge de travail des développeurs et minimisera le risque d'erreurs de conception ou d'implémentation. Les systèmes d'exploitation modernes offrent des mécanismes efficaces d'identification, d'authentification et d'autorisation, et les mettent à disposition des applications. Utilisez uniquement des algorithmes de chiffrement standardisés, reconnus et largement testés. Les systèmes d'exploitation fournissent également des mécanismes pour créer et maintenir des journaux d'audit sécurisés.</v>
      </c>
      <c r="F137" s="8" t="str" cm="1">
        <f t="array" aca="1" ref="F137" ca="1">INDIRECT("tbl_REF_CIS_Safeguards[@Comment"&amp;DocumentLanguage&amp;"]")</f>
        <v/>
      </c>
      <c r="G137" t="s">
        <v>106</v>
      </c>
      <c r="H137" s="8"/>
      <c r="I137" s="92" cm="1">
        <f t="array" aca="1" ref="I137"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37" s="8">
        <f ca="1">IF(tbl_Safeguards[[#This Row],[En place
In place]]&lt;&gt;"N/A",_xlfn.XLOOKUP(tbl_Safeguards[[#This Row],[IG
IG]],tbl_safeguardWeightIG[IG],tbl_safeguardWeightIG[Weight]),"")</f>
        <v>0.75</v>
      </c>
      <c r="K137" s="8" cm="1">
        <f t="array" aca="1" ref="K13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138" spans="1:11" ht="45" hidden="1">
      <c r="A138" t="str">
        <f>tbl_REF_CIS_Safeguards[[#This Row],[SafeguardID]]</f>
        <v>16.12</v>
      </c>
      <c r="B138">
        <f>tbl_REF_CIS_Safeguards[[#This Row],[ControlID]]</f>
        <v>16</v>
      </c>
      <c r="C138" s="8" t="str" cm="1">
        <f t="array" aca="1" ref="C138" ca="1">_xlfn.XLOOKUP(tbl_Safeguards[[#This Row],[ControlID]],tbl_REF_CIS_Controls[ControlID],INDIRECT("tbl_REF_CIS_Controls[ControlName"&amp;DocumentLanguage&amp;"]"))</f>
        <v>Sécurité des logiciels et Applications</v>
      </c>
      <c r="D138" s="8" t="str" cm="1">
        <f t="array" aca="1" ref="D138" ca="1">INDIRECT("tbl_REF_CIS_Safeguards[@Title"&amp;DocumentLanguage&amp;"]")</f>
        <v>Mettre en œuvre des contrôles de sécurité au niveau du code</v>
      </c>
      <c r="E138" s="8" t="str" cm="1">
        <f t="array" aca="1" ref="E138" ca="1">INDIRECT("tbl_REF_CIS_Safeguards[@Description"&amp;DocumentLanguage&amp;"]")</f>
        <v>Appliquez des outils d’analyse statique et dynamique tout au long du cycle de vie de l’application pour vérifier que les pratiques de codage sécurisées sont suivies. (SAST / DAST)</v>
      </c>
      <c r="F138" s="8" t="str" cm="1">
        <f t="array" aca="1" ref="F138" ca="1">INDIRECT("tbl_REF_CIS_Safeguards[@Comment"&amp;DocumentLanguage&amp;"]")</f>
        <v/>
      </c>
      <c r="G138" t="s">
        <v>17</v>
      </c>
      <c r="H138" s="8"/>
      <c r="I138" s="92" cm="1">
        <f t="array" aca="1" ref="I138"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38" s="8">
        <f ca="1">IF(tbl_Safeguards[[#This Row],[En place
In place]]&lt;&gt;"N/A",_xlfn.XLOOKUP(tbl_Safeguards[[#This Row],[IG
IG]],tbl_safeguardWeightIG[IG],tbl_safeguardWeightIG[Weight]),"")</f>
        <v>0.5</v>
      </c>
      <c r="K138" s="8" cm="1">
        <f t="array" aca="1" ref="K13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0.5</v>
      </c>
    </row>
    <row r="139" spans="1:11" ht="105" hidden="1">
      <c r="A139" t="str">
        <f>tbl_REF_CIS_Safeguards[[#This Row],[SafeguardID]]</f>
        <v>16.13</v>
      </c>
      <c r="B139">
        <f>tbl_REF_CIS_Safeguards[[#This Row],[ControlID]]</f>
        <v>16</v>
      </c>
      <c r="C139" s="8" t="str" cm="1">
        <f t="array" aca="1" ref="C139" ca="1">_xlfn.XLOOKUP(tbl_Safeguards[[#This Row],[ControlID]],tbl_REF_CIS_Controls[ControlID],INDIRECT("tbl_REF_CIS_Controls[ControlName"&amp;DocumentLanguage&amp;"]"))</f>
        <v>Sécurité des logiciels et Applications</v>
      </c>
      <c r="D139" s="8" t="str" cm="1">
        <f t="array" aca="1" ref="D139" ca="1">INDIRECT("tbl_REF_CIS_Safeguards[@Title"&amp;DocumentLanguage&amp;"]")</f>
        <v>Effectuer des tests de pénétration d'applications</v>
      </c>
      <c r="E139" s="8" t="str" cm="1">
        <f t="array" aca="1" ref="E139" ca="1">INDIRECT("tbl_REF_CIS_Safeguards[@Description"&amp;DocumentLanguage&amp;"]")</f>
        <v>Effectuer des tests de pénétration d'applications. Pour les applications critiques, les tests de pénétration authentifiés sont plus adaptés à la détection des vulnérabilités de la logique métier que l'analyse de code et les tests de sécurité automatisés. Les tests de pénétration reposent sur la capacité du testeur à manipuler manuellement une application en tant qu'utilisateur authentifié et non authentifié.</v>
      </c>
      <c r="F139" s="8" t="str" cm="1">
        <f t="array" aca="1" ref="F139" ca="1">INDIRECT("tbl_REF_CIS_Safeguards[@Comment"&amp;DocumentLanguage&amp;"]")</f>
        <v/>
      </c>
      <c r="G139" t="s">
        <v>17</v>
      </c>
      <c r="H139" s="8"/>
      <c r="I139" s="92" cm="1">
        <f t="array" aca="1" ref="I139"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39" s="8">
        <f ca="1">IF(tbl_Safeguards[[#This Row],[En place
In place]]&lt;&gt;"N/A",_xlfn.XLOOKUP(tbl_Safeguards[[#This Row],[IG
IG]],tbl_safeguardWeightIG[IG],tbl_safeguardWeightIG[Weight]),"")</f>
        <v>0.5</v>
      </c>
      <c r="K139" s="8" cm="1">
        <f t="array" aca="1" ref="K13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0.5</v>
      </c>
    </row>
    <row r="140" spans="1:11" ht="120" hidden="1">
      <c r="A140" t="str">
        <f>tbl_REF_CIS_Safeguards[[#This Row],[SafeguardID]]</f>
        <v>16.14</v>
      </c>
      <c r="B140">
        <f>tbl_REF_CIS_Safeguards[[#This Row],[ControlID]]</f>
        <v>16</v>
      </c>
      <c r="C140" s="8" t="str" cm="1">
        <f t="array" aca="1" ref="C140" ca="1">_xlfn.XLOOKUP(tbl_Safeguards[[#This Row],[ControlID]],tbl_REF_CIS_Controls[ControlID],INDIRECT("tbl_REF_CIS_Controls[ControlName"&amp;DocumentLanguage&amp;"]"))</f>
        <v>Sécurité des logiciels et Applications</v>
      </c>
      <c r="D140" s="8" t="str" cm="1">
        <f t="array" aca="1" ref="D140" ca="1">INDIRECT("tbl_REF_CIS_Safeguards[@Title"&amp;DocumentLanguage&amp;"]")</f>
        <v>Modélisation de la menace</v>
      </c>
      <c r="E140" s="8" t="str" cm="1">
        <f t="array" aca="1" ref="E140" ca="1">INDIRECT("tbl_REF_CIS_Safeguards[@Description"&amp;DocumentLanguage&amp;"]")</f>
        <v>Modéliser les menaces. La modélisation des menaces consiste à identifier et à corriger les failles de sécurité d'une application, avant même la création du code. Elle est réalisée par des personnes spécialement formées qui évaluent la conception de l'application et évaluent les risques de sécurité pour chaque point d'entrée et niveau d'accès. L'objectif est de cartographier l'application, l'architecture et l'infrastructure de manière structurée afin d'en comprendre les faiblesses.</v>
      </c>
      <c r="F140" s="8" t="str" cm="1">
        <f t="array" aca="1" ref="F140" ca="1">INDIRECT("tbl_REF_CIS_Safeguards[@Comment"&amp;DocumentLanguage&amp;"]")</f>
        <v/>
      </c>
      <c r="G140" t="s">
        <v>106</v>
      </c>
      <c r="H140" s="8"/>
      <c r="I140" s="92" cm="1">
        <f t="array" aca="1" ref="I140"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40" s="8">
        <f ca="1">IF(tbl_Safeguards[[#This Row],[En place
In place]]&lt;&gt;"N/A",_xlfn.XLOOKUP(tbl_Safeguards[[#This Row],[IG
IG]],tbl_safeguardWeightIG[IG],tbl_safeguardWeightIG[Weight]),"")</f>
        <v>0.5</v>
      </c>
      <c r="K140" s="8" cm="1">
        <f t="array" aca="1" ref="K14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141" spans="1:11" ht="180" hidden="1">
      <c r="A141" t="str">
        <f>tbl_REF_CIS_Safeguards[[#This Row],[SafeguardID]]</f>
        <v>17.01</v>
      </c>
      <c r="B141">
        <f>tbl_REF_CIS_Safeguards[[#This Row],[ControlID]]</f>
        <v>17</v>
      </c>
      <c r="C141" s="8" t="str" cm="1">
        <f t="array" aca="1" ref="C141" ca="1">_xlfn.XLOOKUP(tbl_Safeguards[[#This Row],[ControlID]],tbl_REF_CIS_Controls[ControlID],INDIRECT("tbl_REF_CIS_Controls[ControlName"&amp;DocumentLanguage&amp;"]"))</f>
        <v>Gestion des réponses aux incidents</v>
      </c>
      <c r="D141" s="8" t="str" cm="1">
        <f t="array" aca="1" ref="D141" ca="1">INDIRECT("tbl_REF_CIS_Safeguards[@Title"&amp;DocumentLanguage&amp;"]")</f>
        <v>Désigner le personnel chargé de gérer les incidents</v>
      </c>
      <c r="E141" s="8" t="str" cm="1">
        <f t="array" aca="1" ref="E141" ca="1">INDIRECT("tbl_REF_CIS_Safeguards[@Description"&amp;DocumentLanguage&amp;"]")</f>
        <v>Désigner une personne clé, et au moins un remplaçant, qui gérera le processus de traitement des incidents de l'entreprise. Le personnel de gestion est responsable de la coordination et de la documentation des efforts de réponse et de récupération en cas d'incident et peut-être composé d'employés internes à l'entreprise, de fournisseurs de services ou d'une approche hybride. Si l'entreprise fait appel à un prestataire de services, elle doit désigner au moins une personne interne à l'entreprise pour superviser le travail de la tierce partie. Réviser le plan de sauvegarde chaque année ou lorsque des changements importants interviennent dans l'entreprise et pourraient avoir une incidence sur ce plan de sauvegarde.</v>
      </c>
      <c r="F141" s="8" t="str" cm="1">
        <f t="array" aca="1" ref="F141" ca="1">INDIRECT("tbl_REF_CIS_Safeguards[@Comment"&amp;DocumentLanguage&amp;"]")</f>
        <v/>
      </c>
      <c r="G141" t="s">
        <v>17</v>
      </c>
      <c r="H141" s="8" t="s">
        <v>145</v>
      </c>
      <c r="I141" s="92" cm="1">
        <f t="array" aca="1" ref="I141"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41" s="8">
        <f ca="1">IF(tbl_Safeguards[[#This Row],[En place
In place]]&lt;&gt;"N/A",_xlfn.XLOOKUP(tbl_Safeguards[[#This Row],[IG
IG]],tbl_safeguardWeightIG[IG],tbl_safeguardWeightIG[Weight]),"")</f>
        <v>1</v>
      </c>
      <c r="K141" s="8" cm="1">
        <f t="array" aca="1" ref="K14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42" spans="1:11" ht="120" hidden="1">
      <c r="A142" t="str">
        <f>tbl_REF_CIS_Safeguards[[#This Row],[SafeguardID]]</f>
        <v>17.02</v>
      </c>
      <c r="B142">
        <f>tbl_REF_CIS_Safeguards[[#This Row],[ControlID]]</f>
        <v>17</v>
      </c>
      <c r="C142" s="8" t="str" cm="1">
        <f t="array" aca="1" ref="C142" ca="1">_xlfn.XLOOKUP(tbl_Safeguards[[#This Row],[ControlID]],tbl_REF_CIS_Controls[ControlID],INDIRECT("tbl_REF_CIS_Controls[ControlName"&amp;DocumentLanguage&amp;"]"))</f>
        <v>Gestion des réponses aux incidents</v>
      </c>
      <c r="D142" s="8" t="str" cm="1">
        <f t="array" aca="1" ref="D142" ca="1">INDIRECT("tbl_REF_CIS_Safeguards[@Title"&amp;DocumentLanguage&amp;"]")</f>
        <v>Établir et tenir à jour les coordonnées des personnes à contacter pour signaler les incidents de sécurité</v>
      </c>
      <c r="E142" s="8" t="str" cm="1">
        <f t="array" aca="1" ref="E142" ca="1">INDIRECT("tbl_REF_CIS_Safeguards[@Description"&amp;DocumentLanguage&amp;"]")</f>
        <v>Établir et tenir à jour les coordonnées des parties qui doivent être informées des incidents de sécurité. Les contacts peuvent être le personnel interne, les fournisseurs de services, les forces de l'ordre, les fournisseurs de cyberassurance, les agences gouvernementales concernées, les partenaires du centre de partage et d'analyse de l'information (ISAC) ou d'autres parties prenantes. Vérifier les contacts chaque année pour s'assurer que les informations sont à jour.</v>
      </c>
      <c r="F142" s="8" t="str" cm="1">
        <f t="array" aca="1" ref="F142" ca="1">INDIRECT("tbl_REF_CIS_Safeguards[@Comment"&amp;DocumentLanguage&amp;"]")</f>
        <v/>
      </c>
      <c r="G142" t="s">
        <v>17</v>
      </c>
      <c r="H142" s="8" t="s">
        <v>146</v>
      </c>
      <c r="I142" s="92" cm="1">
        <f t="array" aca="1" ref="I142"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42" s="8">
        <f ca="1">IF(tbl_Safeguards[[#This Row],[En place
In place]]&lt;&gt;"N/A",_xlfn.XLOOKUP(tbl_Safeguards[[#This Row],[IG
IG]],tbl_safeguardWeightIG[IG],tbl_safeguardWeightIG[Weight]),"")</f>
        <v>1</v>
      </c>
      <c r="K142" s="8" cm="1">
        <f t="array" aca="1" ref="K14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43" spans="1:11" ht="135" hidden="1">
      <c r="A143" t="str">
        <f>tbl_REF_CIS_Safeguards[[#This Row],[SafeguardID]]</f>
        <v>17.03</v>
      </c>
      <c r="B143">
        <f>tbl_REF_CIS_Safeguards[[#This Row],[ControlID]]</f>
        <v>17</v>
      </c>
      <c r="C143" s="8" t="str" cm="1">
        <f t="array" aca="1" ref="C143" ca="1">_xlfn.XLOOKUP(tbl_Safeguards[[#This Row],[ControlID]],tbl_REF_CIS_Controls[ControlID],INDIRECT("tbl_REF_CIS_Controls[ControlName"&amp;DocumentLanguage&amp;"]"))</f>
        <v>Gestion des réponses aux incidents</v>
      </c>
      <c r="D143" s="8" t="str" cm="1">
        <f t="array" aca="1" ref="D143" ca="1">INDIRECT("tbl_REF_CIS_Safeguards[@Title"&amp;DocumentLanguage&amp;"]")</f>
        <v>Établir et maintenir un processus d'entreprise pour la notification des incidents</v>
      </c>
      <c r="E143" s="8" t="str" cm="1">
        <f t="array" aca="1" ref="E143" ca="1">INDIRECT("tbl_REF_CIS_Safeguards[@Description"&amp;DocumentLanguage&amp;"]")</f>
        <v>Établir et maintenir un processus d'entreprise documenté permettant au personnel de signaler les incidents de sécurité. Cette procédure prévoit un délai de signalement, le nom des personnes à qui s'adresser, le mécanisme de signalement et les informations minimales à communiquer. Veiller à ce que le processus soit accessible à l'ensemble du personnel. Réviser le processus chaque année ou lorsque des changements importants interviennent dans l'entreprise et pourraient avoir une incidence sur cette mesure de sauvegarde.</v>
      </c>
      <c r="F143" s="8" t="str" cm="1">
        <f t="array" aca="1" ref="F143" ca="1">INDIRECT("tbl_REF_CIS_Safeguards[@Comment"&amp;DocumentLanguage&amp;"]")</f>
        <v/>
      </c>
      <c r="G143" t="s">
        <v>17</v>
      </c>
      <c r="H143" s="8"/>
      <c r="I143" s="92" cm="1">
        <f t="array" aca="1" ref="I143"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43" s="8">
        <f ca="1">IF(tbl_Safeguards[[#This Row],[En place
In place]]&lt;&gt;"N/A",_xlfn.XLOOKUP(tbl_Safeguards[[#This Row],[IG
IG]],tbl_safeguardWeightIG[IG],tbl_safeguardWeightIG[Weight]),"")</f>
        <v>1</v>
      </c>
      <c r="K143" s="8" cm="1">
        <f t="array" aca="1" ref="K14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44" spans="1:11" ht="75" hidden="1">
      <c r="A144" t="str">
        <f>tbl_REF_CIS_Safeguards[[#This Row],[SafeguardID]]</f>
        <v>17.04</v>
      </c>
      <c r="B144">
        <f>tbl_REF_CIS_Safeguards[[#This Row],[ControlID]]</f>
        <v>17</v>
      </c>
      <c r="C144" s="8" t="str" cm="1">
        <f t="array" aca="1" ref="C144" ca="1">_xlfn.XLOOKUP(tbl_Safeguards[[#This Row],[ControlID]],tbl_REF_CIS_Controls[ControlID],INDIRECT("tbl_REF_CIS_Controls[ControlName"&amp;DocumentLanguage&amp;"]"))</f>
        <v>Gestion des réponses aux incidents</v>
      </c>
      <c r="D144" s="8" t="str" cm="1">
        <f t="array" aca="1" ref="D144" ca="1">INDIRECT("tbl_REF_CIS_Safeguards[@Title"&amp;DocumentLanguage&amp;"]")</f>
        <v>Établir et maintenir un processus de réponse aux incidents</v>
      </c>
      <c r="E144" s="8" t="str" cm="1">
        <f t="array" aca="1" ref="E144" ca="1">INDIRECT("tbl_REF_CIS_Safeguards[@Description"&amp;DocumentLanguage&amp;"]")</f>
        <v>Établir et maintenir un processus documenté de réponse aux incidents qui traite des rôles et des responsabilités, des exigences de conformité et d'un plan de communication. Révision annuelle ou en cas de changements importants dans l'entreprise susceptibles d'avoir une incidence sur cette mesure de sauvegarde.</v>
      </c>
      <c r="F144" s="8" t="str" cm="1">
        <f t="array" aca="1" ref="F144" ca="1">INDIRECT("tbl_REF_CIS_Safeguards[@Comment"&amp;DocumentLanguage&amp;"]")</f>
        <v/>
      </c>
      <c r="G144" t="s">
        <v>17</v>
      </c>
      <c r="H144" s="8"/>
      <c r="I144" s="92" cm="1">
        <f t="array" aca="1" ref="I144"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44" s="8">
        <f ca="1">IF(tbl_Safeguards[[#This Row],[En place
In place]]&lt;&gt;"N/A",_xlfn.XLOOKUP(tbl_Safeguards[[#This Row],[IG
IG]],tbl_safeguardWeightIG[IG],tbl_safeguardWeightIG[Weight]),"")</f>
        <v>0.75</v>
      </c>
      <c r="K144" s="8" cm="1">
        <f t="array" aca="1" ref="K14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45" spans="1:11" ht="120" hidden="1">
      <c r="A145" t="str">
        <f>tbl_REF_CIS_Safeguards[[#This Row],[SafeguardID]]</f>
        <v>17.05</v>
      </c>
      <c r="B145">
        <f>tbl_REF_CIS_Safeguards[[#This Row],[ControlID]]</f>
        <v>17</v>
      </c>
      <c r="C145" s="8" t="str" cm="1">
        <f t="array" aca="1" ref="C145" ca="1">_xlfn.XLOOKUP(tbl_Safeguards[[#This Row],[ControlID]],tbl_REF_CIS_Controls[ControlID],INDIRECT("tbl_REF_CIS_Controls[ControlName"&amp;DocumentLanguage&amp;"]"))</f>
        <v>Gestion des réponses aux incidents</v>
      </c>
      <c r="D145" s="8" t="str" cm="1">
        <f t="array" aca="1" ref="D145" ca="1">INDIRECT("tbl_REF_CIS_Safeguards[@Title"&amp;DocumentLanguage&amp;"]")</f>
        <v>Attribuer des rôles et des responsabilités clés</v>
      </c>
      <c r="E145" s="8" t="str" cm="1">
        <f t="array" aca="1" ref="E145" ca="1">INDIRECT("tbl_REF_CIS_Safeguards[@Description"&amp;DocumentLanguage&amp;"]")</f>
        <v>Attribuer des rôles et des responsabilités clés pour la réponse aux incidents, notamment au personnel des services juridiques, de l'informatique, de la sécurité de l'information, des installations, des relations publiques, des ressources humaines, aux personnes chargées de répondre aux incidents et aux analystes. Révision annuelle ou lorsque des changements importants au sein de l'entreprise sont susceptibles d'avoir une incidence sur la présente mesure de sauvegarde.</v>
      </c>
      <c r="F145" s="8" t="str" cm="1">
        <f t="array" aca="1" ref="F145" ca="1">INDIRECT("tbl_REF_CIS_Safeguards[@Comment"&amp;DocumentLanguage&amp;"]")</f>
        <v/>
      </c>
      <c r="G145" t="s">
        <v>17</v>
      </c>
      <c r="H145" s="8"/>
      <c r="I145" s="92" cm="1">
        <f t="array" aca="1" ref="I145"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45" s="8">
        <f ca="1">IF(tbl_Safeguards[[#This Row],[En place
In place]]&lt;&gt;"N/A",_xlfn.XLOOKUP(tbl_Safeguards[[#This Row],[IG
IG]],tbl_safeguardWeightIG[IG],tbl_safeguardWeightIG[Weight]),"")</f>
        <v>0.75</v>
      </c>
      <c r="K145" s="8" cm="1">
        <f t="array" aca="1" ref="K14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46" spans="1:11" ht="135" hidden="1">
      <c r="A146" t="str">
        <f>tbl_REF_CIS_Safeguards[[#This Row],[SafeguardID]]</f>
        <v>17.06</v>
      </c>
      <c r="B146">
        <f>tbl_REF_CIS_Safeguards[[#This Row],[ControlID]]</f>
        <v>17</v>
      </c>
      <c r="C146" s="8" t="str" cm="1">
        <f t="array" aca="1" ref="C146" ca="1">_xlfn.XLOOKUP(tbl_Safeguards[[#This Row],[ControlID]],tbl_REF_CIS_Controls[ControlID],INDIRECT("tbl_REF_CIS_Controls[ControlName"&amp;DocumentLanguage&amp;"]"))</f>
        <v>Gestion des réponses aux incidents</v>
      </c>
      <c r="D146" s="8" t="str" cm="1">
        <f t="array" aca="1" ref="D146" ca="1">INDIRECT("tbl_REF_CIS_Safeguards[@Title"&amp;DocumentLanguage&amp;"]")</f>
        <v>Définir des mécanismes de communication pendant la réponse à l'incident</v>
      </c>
      <c r="E146" s="8" t="str" cm="1">
        <f t="array" aca="1" ref="E146" ca="1">INDIRECT("tbl_REF_CIS_Safeguards[@Description"&amp;DocumentLanguage&amp;"]")</f>
        <v>Déterminez les mécanismes primaires et secondaires qui seront utilisés pour communiquer et rendre compte lors d'un incident de sécurité. Il peut s'agir d'appels téléphoniques, de courriels, de chats sécurisés ou de lettres de notification. Gardez à l'esprit que certains mécanismes, tels que les courriels, peuvent être affectés lors d'un incident de sécurité. Il convient de procéder à une révision annuelle ou lorsque des changements importants au sein de l'entreprise sont susceptibles d'avoir une incidence sur cette mesure de protection.</v>
      </c>
      <c r="F146" s="8" t="str" cm="1">
        <f t="array" aca="1" ref="F146" ca="1">INDIRECT("tbl_REF_CIS_Safeguards[@Comment"&amp;DocumentLanguage&amp;"]")</f>
        <v/>
      </c>
      <c r="G146" t="s">
        <v>17</v>
      </c>
      <c r="H146" s="8"/>
      <c r="I146" s="92" cm="1">
        <f t="array" aca="1" ref="I146"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46" s="8">
        <f ca="1">IF(tbl_Safeguards[[#This Row],[En place
In place]]&lt;&gt;"N/A",_xlfn.XLOOKUP(tbl_Safeguards[[#This Row],[IG
IG]],tbl_safeguardWeightIG[IG],tbl_safeguardWeightIG[Weight]),"")</f>
        <v>0.75</v>
      </c>
      <c r="K146" s="8" cm="1">
        <f t="array" aca="1" ref="K14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47" spans="1:11" ht="90" hidden="1">
      <c r="A147" t="str">
        <f>tbl_REF_CIS_Safeguards[[#This Row],[SafeguardID]]</f>
        <v>17.07</v>
      </c>
      <c r="B147">
        <f>tbl_REF_CIS_Safeguards[[#This Row],[ControlID]]</f>
        <v>17</v>
      </c>
      <c r="C147" s="8" t="str" cm="1">
        <f t="array" aca="1" ref="C147" ca="1">_xlfn.XLOOKUP(tbl_Safeguards[[#This Row],[ControlID]],tbl_REF_CIS_Controls[ControlID],INDIRECT("tbl_REF_CIS_Controls[ControlName"&amp;DocumentLanguage&amp;"]"))</f>
        <v>Gestion des réponses aux incidents</v>
      </c>
      <c r="D147" s="8" t="str" cm="1">
        <f t="array" aca="1" ref="D147" ca="1">INDIRECT("tbl_REF_CIS_Safeguards[@Title"&amp;DocumentLanguage&amp;"]")</f>
        <v>Effectuer des exercices de routine de réponse aux incidents</v>
      </c>
      <c r="E147" s="8" t="str" cm="1">
        <f t="array" aca="1" ref="E147" ca="1">INDIRECT("tbl_REF_CIS_Safeguards[@Description"&amp;DocumentLanguage&amp;"]")</f>
        <v>Planifier et réaliser des exercices et des scénarios de réponse aux incidents pour le personnel clé impliqué dans le processus de réponse aux incidents afin de se préparer à répondre à des incidents réels. Les exercices doivent permettre de tester les canaux de communication, la prise de décision et les flux de travail. Les tests doivent être effectués au moins une fois par an.</v>
      </c>
      <c r="F147" s="8" t="str" cm="1">
        <f t="array" aca="1" ref="F147" ca="1">INDIRECT("tbl_REF_CIS_Safeguards[@Comment"&amp;DocumentLanguage&amp;"]")</f>
        <v/>
      </c>
      <c r="G147" t="s">
        <v>17</v>
      </c>
      <c r="H147" s="8"/>
      <c r="I147" s="92" cm="1">
        <f t="array" aca="1" ref="I147"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47" s="8">
        <f ca="1">IF(tbl_Safeguards[[#This Row],[En place
In place]]&lt;&gt;"N/A",_xlfn.XLOOKUP(tbl_Safeguards[[#This Row],[IG
IG]],tbl_safeguardWeightIG[IG],tbl_safeguardWeightIG[Weight]),"")</f>
        <v>0.75</v>
      </c>
      <c r="K147" s="8" cm="1">
        <f t="array" aca="1" ref="K14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48" spans="1:11" ht="45" hidden="1">
      <c r="A148" t="str">
        <f>tbl_REF_CIS_Safeguards[[#This Row],[SafeguardID]]</f>
        <v>17.08</v>
      </c>
      <c r="B148">
        <f>tbl_REF_CIS_Safeguards[[#This Row],[ControlID]]</f>
        <v>17</v>
      </c>
      <c r="C148" s="8" t="str" cm="1">
        <f t="array" aca="1" ref="C148" ca="1">_xlfn.XLOOKUP(tbl_Safeguards[[#This Row],[ControlID]],tbl_REF_CIS_Controls[ControlID],INDIRECT("tbl_REF_CIS_Controls[ControlName"&amp;DocumentLanguage&amp;"]"))</f>
        <v>Gestion des réponses aux incidents</v>
      </c>
      <c r="D148" s="8" t="str" cm="1">
        <f t="array" aca="1" ref="D148" ca="1">INDIRECT("tbl_REF_CIS_Safeguards[@Title"&amp;DocumentLanguage&amp;"]")</f>
        <v>Réaliser des examens après l'incident</v>
      </c>
      <c r="E148" s="8" t="str" cm="1">
        <f t="array" aca="1" ref="E148" ca="1">INDIRECT("tbl_REF_CIS_Safeguards[@Description"&amp;DocumentLanguage&amp;"]")</f>
        <v>Procéder à des examens post-incidents. Les analyses post-incident permettent d'éviter que l'incident ne se reproduise en identifiant les enseignements tirés et les mesures de suivi.</v>
      </c>
      <c r="F148" s="8" t="str" cm="1">
        <f t="array" aca="1" ref="F148" ca="1">INDIRECT("tbl_REF_CIS_Safeguards[@Comment"&amp;DocumentLanguage&amp;"]")</f>
        <v/>
      </c>
      <c r="G148" t="s">
        <v>17</v>
      </c>
      <c r="H148" s="8"/>
      <c r="I148" s="92" cm="1">
        <f t="array" aca="1" ref="I148"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48" s="8">
        <f ca="1">IF(tbl_Safeguards[[#This Row],[En place
In place]]&lt;&gt;"N/A",_xlfn.XLOOKUP(tbl_Safeguards[[#This Row],[IG
IG]],tbl_safeguardWeightIG[IG],tbl_safeguardWeightIG[Weight]),"")</f>
        <v>0.75</v>
      </c>
      <c r="K148" s="8" cm="1">
        <f t="array" aca="1" ref="K14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49" spans="1:11" ht="105" hidden="1">
      <c r="A149" t="str">
        <f>tbl_REF_CIS_Safeguards[[#This Row],[SafeguardID]]</f>
        <v>17.09</v>
      </c>
      <c r="B149">
        <f>tbl_REF_CIS_Safeguards[[#This Row],[ControlID]]</f>
        <v>17</v>
      </c>
      <c r="C149" s="8" t="str" cm="1">
        <f t="array" aca="1" ref="C149" ca="1">_xlfn.XLOOKUP(tbl_Safeguards[[#This Row],[ControlID]],tbl_REF_CIS_Controls[ControlID],INDIRECT("tbl_REF_CIS_Controls[ControlName"&amp;DocumentLanguage&amp;"]"))</f>
        <v>Gestion des réponses aux incidents</v>
      </c>
      <c r="D149" s="8" t="str" cm="1">
        <f t="array" aca="1" ref="D149" ca="1">INDIRECT("tbl_REF_CIS_Safeguards[@Title"&amp;DocumentLanguage&amp;"]")</f>
        <v>Établir et maintenir des seuils d'incidents de sécurité</v>
      </c>
      <c r="E149" s="8" t="str" cm="1">
        <f t="array" aca="1" ref="E149" ca="1">INDIRECT("tbl_REF_CIS_Safeguards[@Description"&amp;DocumentLanguage&amp;"]")</f>
        <v>Établir et maintenir des seuils d'incidents de sécurité, y compris, au minimum, faire la différence entre un incident et un événement. Les exemples peuvent inclure : activité anormale, vulnérabilité de la sécurité, faiblesse de la sécurité, violation de données, incident lié à la protection de la vie privée, etc. Réviser ces seuils chaque année ou en cas de changements importants au sein de l'entreprise susceptibles d'avoir une incidence sur cette mesure de protection.</v>
      </c>
      <c r="F149" s="8" t="str" cm="1">
        <f t="array" aca="1" ref="F149" ca="1">INDIRECT("tbl_REF_CIS_Safeguards[@Comment"&amp;DocumentLanguage&amp;"]")</f>
        <v/>
      </c>
      <c r="G149" t="s">
        <v>17</v>
      </c>
      <c r="H149" s="8"/>
      <c r="I149" s="92" cm="1">
        <f t="array" aca="1" ref="I149"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49" s="8">
        <f ca="1">IF(tbl_Safeguards[[#This Row],[En place
In place]]&lt;&gt;"N/A",_xlfn.XLOOKUP(tbl_Safeguards[[#This Row],[IG
IG]],tbl_safeguardWeightIG[IG],tbl_safeguardWeightIG[Weight]),"")</f>
        <v>0.5</v>
      </c>
      <c r="K149" s="8" cm="1">
        <f t="array" aca="1" ref="K14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0.5</v>
      </c>
    </row>
    <row r="150" spans="1:11" ht="150" hidden="1">
      <c r="A150" t="str">
        <f>tbl_REF_CIS_Safeguards[[#This Row],[SafeguardID]]</f>
        <v>18.01</v>
      </c>
      <c r="B150">
        <f>tbl_REF_CIS_Safeguards[[#This Row],[ControlID]]</f>
        <v>18</v>
      </c>
      <c r="C150" s="8" t="str" cm="1">
        <f t="array" aca="1" ref="C150" ca="1">_xlfn.XLOOKUP(tbl_Safeguards[[#This Row],[ControlID]],tbl_REF_CIS_Controls[ControlID],INDIRECT("tbl_REF_CIS_Controls[ControlName"&amp;DocumentLanguage&amp;"]"))</f>
        <v>Test de pénétration</v>
      </c>
      <c r="D150" s="8" t="str" cm="1">
        <f t="array" aca="1" ref="D150" ca="1">INDIRECT("tbl_REF_CIS_Safeguards[@Title"&amp;DocumentLanguage&amp;"]")</f>
        <v>Établir et maintenir un programme de tests de pénétration</v>
      </c>
      <c r="E150" s="8" t="str" cm="1">
        <f t="array" aca="1" ref="E150" ca="1">INDIRECT("tbl_REF_CIS_Safeguards[@Description"&amp;DocumentLanguage&amp;"]")</f>
        <v>Établir et maintenir un programme de tests de pénétration adapté à la taille, à la complexité, au secteur d'activité et à la maturité de l'entreprise. Les caractéristiques du programme de tests d'intrusion comprennent le champ d'application (réseau, application web, interface de programmation d'application (API), services hébergés et contrôles des locaux physiques), la fréquence, les limites (heures acceptables et types d'attaques exclus), les informations sur le point de contact, les mesures correctives (comment les résultats seront acheminés en interne) et les exigences en matière de rétrospection.</v>
      </c>
      <c r="F150" s="8"/>
      <c r="G150" t="s">
        <v>17</v>
      </c>
      <c r="H150" s="8"/>
      <c r="I150" s="92" cm="1">
        <f t="array" aca="1" ref="I150"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50" s="8">
        <f ca="1">IF(tbl_Safeguards[[#This Row],[En place
In place]]&lt;&gt;"N/A",_xlfn.XLOOKUP(tbl_Safeguards[[#This Row],[IG
IG]],tbl_safeguardWeightIG[IG],tbl_safeguardWeightIG[Weight]),"")</f>
        <v>0.75</v>
      </c>
      <c r="K150" s="8" cm="1">
        <f t="array" aca="1" ref="K15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51" spans="1:11" ht="120" hidden="1">
      <c r="A151" t="str">
        <f>tbl_REF_CIS_Safeguards[[#This Row],[SafeguardID]]</f>
        <v>18.02</v>
      </c>
      <c r="B151">
        <f>tbl_REF_CIS_Safeguards[[#This Row],[ControlID]]</f>
        <v>18</v>
      </c>
      <c r="C151" s="8" t="str" cm="1">
        <f t="array" aca="1" ref="C151" ca="1">_xlfn.XLOOKUP(tbl_Safeguards[[#This Row],[ControlID]],tbl_REF_CIS_Controls[ControlID],INDIRECT("tbl_REF_CIS_Controls[ControlName"&amp;DocumentLanguage&amp;"]"))</f>
        <v>Test de pénétration</v>
      </c>
      <c r="D151" s="8" t="str" cm="1">
        <f t="array" aca="1" ref="D151" ca="1">INDIRECT("tbl_REF_CIS_Safeguards[@Title"&amp;DocumentLanguage&amp;"]")</f>
        <v>Effectuer des tests de pénétration externes périodiques</v>
      </c>
      <c r="E151" s="8" t="str" cm="1">
        <f t="array" aca="1" ref="E151" ca="1">INDIRECT("tbl_REF_CIS_Safeguards[@Description"&amp;DocumentLanguage&amp;"]")</f>
        <v>Effectuer des tests de pénétration externes périodiques en fonction des exigences du programme, au moins une fois par an. Les tests de pénétration externes doivent comprendre une reconnaissance de l'entreprise et de l'environnement afin de détecter les informations exploitables. Les tests de pénétration requièrent des compétences et une expérience spécialisées et doivent être effectués par une partie qualifiée. Les tests peuvent être effectués en boîte transparente ou en boîte opaque.</v>
      </c>
      <c r="F151" s="8"/>
      <c r="G151" t="s">
        <v>17</v>
      </c>
      <c r="H151" s="8" t="s">
        <v>147</v>
      </c>
      <c r="I151" s="92" cm="1">
        <f t="array" aca="1" ref="I151"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51" s="8">
        <f ca="1">IF(tbl_Safeguards[[#This Row],[En place
In place]]&lt;&gt;"N/A",_xlfn.XLOOKUP(tbl_Safeguards[[#This Row],[IG
IG]],tbl_safeguardWeightIG[IG],tbl_safeguardWeightIG[Weight]),"")</f>
        <v>0.75</v>
      </c>
      <c r="K151" s="8" cm="1">
        <f t="array" aca="1" ref="K15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52" spans="1:11" ht="75" hidden="1">
      <c r="A152" t="str">
        <f>tbl_REF_CIS_Safeguards[[#This Row],[SafeguardID]]</f>
        <v>18.03</v>
      </c>
      <c r="B152">
        <f>tbl_REF_CIS_Safeguards[[#This Row],[ControlID]]</f>
        <v>18</v>
      </c>
      <c r="C152" s="8" t="str" cm="1">
        <f t="array" aca="1" ref="C152" ca="1">_xlfn.XLOOKUP(tbl_Safeguards[[#This Row],[ControlID]],tbl_REF_CIS_Controls[ControlID],INDIRECT("tbl_REF_CIS_Controls[ControlName"&amp;DocumentLanguage&amp;"]"))</f>
        <v>Test de pénétration</v>
      </c>
      <c r="D152" s="8" t="str" cm="1">
        <f t="array" aca="1" ref="D152" ca="1">INDIRECT("tbl_REF_CIS_Safeguards[@Title"&amp;DocumentLanguage&amp;"]")</f>
        <v>Remédier aux résultats des tests de pénétration</v>
      </c>
      <c r="E152" s="8" t="str" cm="1">
        <f t="array" aca="1" ref="E152" ca="1">INDIRECT("tbl_REF_CIS_Safeguards[@Description"&amp;DocumentLanguage&amp;"]")</f>
        <v>Remédier aux résultats des tests de pénétration sur la base du processus documenté de remédiation des vulnérabilités de l'entreprise. Il s'agit notamment de déterminer un calendrier et un niveau d'effort en fonction de l'impact et de l'ordre de priorité de chaque résultat identifié.</v>
      </c>
      <c r="F152" s="8"/>
      <c r="G152" t="s">
        <v>17</v>
      </c>
      <c r="H152" s="8"/>
      <c r="I152" s="92" cm="1">
        <f t="array" aca="1" ref="I152"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52" s="8">
        <f ca="1">IF(tbl_Safeguards[[#This Row],[En place
In place]]&lt;&gt;"N/A",_xlfn.XLOOKUP(tbl_Safeguards[[#This Row],[IG
IG]],tbl_safeguardWeightIG[IG],tbl_safeguardWeightIG[Weight]),"")</f>
        <v>0.75</v>
      </c>
      <c r="K152" s="8" cm="1">
        <f t="array" aca="1" ref="K15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53" spans="1:11" ht="45" hidden="1">
      <c r="A153" t="str">
        <f>tbl_REF_CIS_Safeguards[[#This Row],[SafeguardID]]</f>
        <v>18.04</v>
      </c>
      <c r="B153">
        <f>tbl_REF_CIS_Safeguards[[#This Row],[ControlID]]</f>
        <v>18</v>
      </c>
      <c r="C153" s="8" t="str" cm="1">
        <f t="array" aca="1" ref="C153" ca="1">_xlfn.XLOOKUP(tbl_Safeguards[[#This Row],[ControlID]],tbl_REF_CIS_Controls[ControlID],INDIRECT("tbl_REF_CIS_Controls[ControlName"&amp;DocumentLanguage&amp;"]"))</f>
        <v>Test de pénétration</v>
      </c>
      <c r="D153" s="8" t="str" cm="1">
        <f t="array" aca="1" ref="D153" ca="1">INDIRECT("tbl_REF_CIS_Safeguards[@Title"&amp;DocumentLanguage&amp;"]")</f>
        <v>Valider les mesures de sécurité</v>
      </c>
      <c r="E153" s="8" t="str" cm="1">
        <f t="array" aca="1" ref="E153" ca="1">INDIRECT("tbl_REF_CIS_Safeguards[@Description"&amp;DocumentLanguage&amp;"]")</f>
        <v>Valider les mesures de sécurité après chaque test de pénétration. Si nécessaire, modifier les jeux de règles et les capacités pour détecter les techniques utilisées pendant les tests.</v>
      </c>
      <c r="F153" s="8"/>
      <c r="G153" t="s">
        <v>17</v>
      </c>
      <c r="H153" s="8"/>
      <c r="I153" s="92" cm="1">
        <f t="array" aca="1" ref="I153"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53" s="8">
        <f ca="1">IF(tbl_Safeguards[[#This Row],[En place
In place]]&lt;&gt;"N/A",_xlfn.XLOOKUP(tbl_Safeguards[[#This Row],[IG
IG]],tbl_safeguardWeightIG[IG],tbl_safeguardWeightIG[Weight]),"")</f>
        <v>0.5</v>
      </c>
      <c r="K153" s="8" cm="1">
        <f t="array" aca="1" ref="K15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0.5</v>
      </c>
    </row>
    <row r="154" spans="1:11">
      <c r="A154" t="str">
        <f>tbl_REF_CIS_Safeguards[[#This Row],[SafeguardID]]</f>
        <v>18.05</v>
      </c>
      <c r="B154">
        <f>tbl_REF_CIS_Safeguards[[#This Row],[ControlID]]</f>
        <v>18</v>
      </c>
      <c r="C154" s="8" t="str" cm="1">
        <f t="array" aca="1" ref="C154" ca="1">_xlfn.XLOOKUP(tbl_Safeguards[[#This Row],[ControlID]],tbl_REF_CIS_Controls[ControlID],INDIRECT("tbl_REF_CIS_Controls[ControlName"&amp;DocumentLanguage&amp;"]"))</f>
        <v>Test de pénétration</v>
      </c>
      <c r="D154" s="8" t="str" cm="1">
        <f t="array" aca="1" ref="D154" ca="1">INDIRECT("tbl_REF_CIS_Safeguards[@Title"&amp;DocumentLanguage&amp;"]")</f>
        <v>Effectuer des tests de pénétration internes périodiques</v>
      </c>
      <c r="E154" s="8" t="str" cm="1">
        <f t="array" aca="1" ref="E154" ca="1">INDIRECT("tbl_REF_CIS_Safeguards[@Description"&amp;DocumentLanguage&amp;"]")</f>
        <v>Effectuer des tests de pénétration internes périodiques sur la base des exigences du programme, au moins une fois par an. Les tests peuvent être effectués en boîte blanche ou en boîte noire.</v>
      </c>
      <c r="F154" s="8" t="s">
        <v>148</v>
      </c>
      <c r="H154" s="8" t="s">
        <v>149</v>
      </c>
      <c r="I154" s="92" cm="1">
        <f t="array" aca="1" ref="I154" ca="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54" s="8">
        <f ca="1">IF(tbl_Safeguards[[#This Row],[En place
In place]]&lt;&gt;"N/A",_xlfn.XLOOKUP(tbl_Safeguards[[#This Row],[IG
IG]],tbl_safeguardWeightIG[IG],tbl_safeguardWeightIG[Weight]),"")</f>
        <v>0.5</v>
      </c>
      <c r="K154" s="8" t="e" cm="1">
        <f t="array" aca="1" ref="K15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#N/A</v>
      </c>
    </row>
  </sheetData>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19E9A-4C2B-4A94-83E9-2724EE316F83}">
  <sheetPr codeName="Feuil8"/>
  <dimension ref="A1:H21"/>
  <sheetViews>
    <sheetView topLeftCell="A17" zoomScaleNormal="100" workbookViewId="0">
      <selection activeCell="E7" sqref="E7"/>
    </sheetView>
  </sheetViews>
  <sheetFormatPr defaultColWidth="9.140625" defaultRowHeight="15" customHeight="1"/>
  <cols>
    <col min="1" max="1" width="5.42578125" bestFit="1" customWidth="1"/>
    <col min="2" max="2" width="60.42578125" customWidth="1"/>
    <col min="3" max="3" width="20.7109375" customWidth="1"/>
    <col min="4" max="4" width="52.42578125" customWidth="1"/>
    <col min="5" max="5" width="40.7109375" customWidth="1"/>
    <col min="6" max="6" width="29.140625" customWidth="1"/>
    <col min="7" max="7" width="34.5703125" customWidth="1"/>
    <col min="8" max="8" width="25" customWidth="1"/>
    <col min="15" max="15" width="9.28515625" bestFit="1" customWidth="1"/>
  </cols>
  <sheetData>
    <row r="1" spans="1:8" ht="74.25" customHeight="1">
      <c r="A1" s="68" t="s">
        <v>150</v>
      </c>
      <c r="B1" s="69" t="s">
        <v>151</v>
      </c>
      <c r="C1" s="69" t="s">
        <v>152</v>
      </c>
      <c r="D1" s="69" t="s">
        <v>33</v>
      </c>
      <c r="E1" s="70" t="s">
        <v>153</v>
      </c>
      <c r="F1" s="69" t="s">
        <v>154</v>
      </c>
      <c r="G1" s="69" t="s">
        <v>155</v>
      </c>
      <c r="H1" s="69" t="s">
        <v>156</v>
      </c>
    </row>
    <row r="2" spans="1:8" ht="132.75">
      <c r="A2" s="89">
        <f>tbl_REF_CIS_Controls[[#This Row],[ControlID]]</f>
        <v>1</v>
      </c>
      <c r="B2" t="str" cm="1">
        <f t="array" aca="1" ref="B2" ca="1">INDIRECT("tbl_REF_CIS_Controls[@ControlName"&amp;DocumentLanguage&amp;"]")</f>
        <v>Inventaire et contrôle des actifs de l'entreprise</v>
      </c>
      <c r="C2" t="str" cm="1">
        <f t="array" aca="1" ref="C2"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1 - Non efficace</v>
      </c>
      <c r="D2" s="199" t="s">
        <v>157</v>
      </c>
      <c r="E2" s="200" t="s">
        <v>158</v>
      </c>
      <c r="F2">
        <v>0.9</v>
      </c>
      <c r="G2" s="8" cm="1">
        <f t="array" aca="1" ref="G2" ca="1">SUM(_xlfn._xlws.FILTER(tbl_Safeguards[Poid d''implémentation
Implementation weight],tbl_Safeguards[ControlID]=tbl_Controls[[#This Row],[ID
ID]]))/SUM(_xlfn._xlws.FILTER(tbl_Safeguards[Poid du safeguard
Weight per safeguard],tbl_Safeguards[ControlID]=tbl_Controls[[#This Row],[ID
ID]]))</f>
        <v>0.1875</v>
      </c>
      <c r="H2">
        <f ca="1">tbl_Controls[[#This Row],[Score du controle
Score of controls in Place (Total score)]]*tbl_Controls[[#This Row],[Poid du controle
Control Weight]]</f>
        <v>0.16875000000000001</v>
      </c>
    </row>
    <row r="3" spans="1:8" ht="108.75">
      <c r="A3" s="89">
        <f>tbl_REF_CIS_Controls[[#This Row],[ControlID]]</f>
        <v>2</v>
      </c>
      <c r="B3" t="str" cm="1">
        <f t="array" aca="1" ref="B3" ca="1">INDIRECT("tbl_REF_CIS_Controls[@ControlName"&amp;DocumentLanguage&amp;"]")</f>
        <v>Inventaire et contrôle des actifs logiciels</v>
      </c>
      <c r="C3" t="str" cm="1">
        <f t="array" aca="1" ref="C3"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1 - Non efficace</v>
      </c>
      <c r="D3" s="201" t="s">
        <v>159</v>
      </c>
      <c r="E3" s="202" t="s">
        <v>160</v>
      </c>
      <c r="F3">
        <v>0.9</v>
      </c>
      <c r="G3" s="8" cm="1">
        <f t="array" aca="1" ref="G3" ca="1">SUM(_xlfn._xlws.FILTER(tbl_Safeguards[Poid d''implémentation
Implementation weight],tbl_Safeguards[ControlID]=tbl_Controls[[#This Row],[ID
ID]]))/SUM(_xlfn._xlws.FILTER(tbl_Safeguards[Poid du safeguard
Weight per safeguard],tbl_Safeguards[ControlID]=tbl_Controls[[#This Row],[ID
ID]]))</f>
        <v>0</v>
      </c>
      <c r="H3">
        <f ca="1">tbl_Controls[[#This Row],[Score du controle
Score of controls in Place (Total score)]]*tbl_Controls[[#This Row],[Poid du controle
Control Weight]]</f>
        <v>0</v>
      </c>
    </row>
    <row r="4" spans="1:8" ht="144.75">
      <c r="A4" s="89">
        <f>tbl_REF_CIS_Controls[[#This Row],[ControlID]]</f>
        <v>3</v>
      </c>
      <c r="B4" t="str" cm="1">
        <f t="array" aca="1" ref="B4" ca="1">INDIRECT("tbl_REF_CIS_Controls[@ControlName"&amp;DocumentLanguage&amp;"]")</f>
        <v>Protection des données</v>
      </c>
      <c r="C4" t="str" cm="1">
        <f t="array" aca="1" ref="C4"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1 - Non efficace</v>
      </c>
      <c r="D4" s="199" t="s">
        <v>161</v>
      </c>
      <c r="E4" s="200" t="s">
        <v>162</v>
      </c>
      <c r="F4">
        <v>0.95</v>
      </c>
      <c r="G4" s="8" cm="1">
        <f t="array" aca="1" ref="G4" ca="1">SUM(_xlfn._xlws.FILTER(tbl_Safeguards[Poid d''implémentation
Implementation weight],tbl_Safeguards[ControlID]=tbl_Controls[[#This Row],[ID
ID]]))/SUM(_xlfn._xlws.FILTER(tbl_Safeguards[Poid du safeguard
Weight per safeguard],tbl_Safeguards[ControlID]=tbl_Controls[[#This Row],[ID
ID]]))</f>
        <v>0.30952380952380953</v>
      </c>
      <c r="H4">
        <f ca="1">tbl_Controls[[#This Row],[Score du controle
Score of controls in Place (Total score)]]*tbl_Controls[[#This Row],[Poid du controle
Control Weight]]</f>
        <v>0.29404761904761906</v>
      </c>
    </row>
    <row r="5" spans="1:8" ht="120.75">
      <c r="A5" s="89">
        <f>tbl_REF_CIS_Controls[[#This Row],[ControlID]]</f>
        <v>4</v>
      </c>
      <c r="B5" t="str" cm="1">
        <f t="array" aca="1" ref="B5" ca="1">INDIRECT("tbl_REF_CIS_Controls[@ControlName"&amp;DocumentLanguage&amp;"]")</f>
        <v>Configuration sécurisée des actifs et des logiciels de l'entreprise</v>
      </c>
      <c r="C5" t="str" cm="1">
        <f t="array" aca="1" ref="C5"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3 - Efficace</v>
      </c>
      <c r="D5" s="201" t="s">
        <v>163</v>
      </c>
      <c r="E5" s="202" t="s">
        <v>164</v>
      </c>
      <c r="F5">
        <v>0.85</v>
      </c>
      <c r="G5" s="8" cm="1">
        <f t="array" aca="1" ref="G5" ca="1">SUM(_xlfn._xlws.FILTER(tbl_Safeguards[Poid d''implémentation
Implementation weight],tbl_Safeguards[ControlID]=tbl_Controls[[#This Row],[ID
ID]]))/SUM(_xlfn._xlws.FILTER(tbl_Safeguards[Poid du safeguard
Weight per safeguard],tbl_Safeguards[ControlID]=tbl_Controls[[#This Row],[ID
ID]]))</f>
        <v>0.9</v>
      </c>
      <c r="H5">
        <f ca="1">tbl_Controls[[#This Row],[Score du controle
Score of controls in Place (Total score)]]*tbl_Controls[[#This Row],[Poid du controle
Control Weight]]</f>
        <v>0.76500000000000001</v>
      </c>
    </row>
    <row r="6" spans="1:8" ht="120.75">
      <c r="A6" s="89">
        <f>tbl_REF_CIS_Controls[[#This Row],[ControlID]]</f>
        <v>5</v>
      </c>
      <c r="B6" t="str" cm="1">
        <f t="array" aca="1" ref="B6" ca="1">INDIRECT("tbl_REF_CIS_Controls[@ControlName"&amp;DocumentLanguage&amp;"]")</f>
        <v>Gestion des comptes</v>
      </c>
      <c r="C6" t="str" cm="1">
        <f t="array" aca="1" ref="C6"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3 - Efficace</v>
      </c>
      <c r="D6" s="199" t="s">
        <v>165</v>
      </c>
      <c r="E6" s="200" t="s">
        <v>166</v>
      </c>
      <c r="F6">
        <v>0.8</v>
      </c>
      <c r="G6" s="8" cm="1">
        <f t="array" aca="1" ref="G6" ca="1">SUM(_xlfn._xlws.FILTER(tbl_Safeguards[Poid d''implémentation
Implementation weight],tbl_Safeguards[ControlID]=tbl_Controls[[#This Row],[ID
ID]]))/SUM(_xlfn._xlws.FILTER(tbl_Safeguards[Poid du safeguard
Weight per safeguard],tbl_Safeguards[ControlID]=tbl_Controls[[#This Row],[ID
ID]]))</f>
        <v>0.81818181818181823</v>
      </c>
      <c r="H6">
        <f ca="1">tbl_Controls[[#This Row],[Score du controle
Score of controls in Place (Total score)]]*tbl_Controls[[#This Row],[Poid du controle
Control Weight]]</f>
        <v>0.65454545454545465</v>
      </c>
    </row>
    <row r="7" spans="1:8" ht="108.75">
      <c r="A7" s="89">
        <f>tbl_REF_CIS_Controls[[#This Row],[ControlID]]</f>
        <v>6</v>
      </c>
      <c r="B7" t="str" cm="1">
        <f t="array" aca="1" ref="B7" ca="1">INDIRECT("tbl_REF_CIS_Controls[@ControlName"&amp;DocumentLanguage&amp;"]")</f>
        <v>Gestion du contrôle d'accès</v>
      </c>
      <c r="C7" t="str" cm="1">
        <f t="array" aca="1" ref="C7"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3 - Efficace</v>
      </c>
      <c r="D7" s="201" t="s">
        <v>167</v>
      </c>
      <c r="E7" s="202" t="s">
        <v>168</v>
      </c>
      <c r="F7">
        <v>0.8</v>
      </c>
      <c r="G7" s="8" cm="1">
        <f t="array" aca="1" ref="G7" ca="1">SUM(_xlfn._xlws.FILTER(tbl_Safeguards[Poid d''implémentation
Implementation weight],tbl_Safeguards[ControlID]=tbl_Controls[[#This Row],[ID
ID]]))/SUM(_xlfn._xlws.FILTER(tbl_Safeguards[Poid du safeguard
Weight per safeguard],tbl_Safeguards[ControlID]=tbl_Controls[[#This Row],[ID
ID]]))</f>
        <v>1</v>
      </c>
      <c r="H7">
        <f ca="1">tbl_Controls[[#This Row],[Score du controle
Score of controls in Place (Total score)]]*tbl_Controls[[#This Row],[Poid du controle
Control Weight]]</f>
        <v>0.8</v>
      </c>
    </row>
    <row r="8" spans="1:8" ht="132.75">
      <c r="A8" s="89">
        <f>tbl_REF_CIS_Controls[[#This Row],[ControlID]]</f>
        <v>7</v>
      </c>
      <c r="B8" t="str" cm="1">
        <f t="array" aca="1" ref="B8" ca="1">INDIRECT("tbl_REF_CIS_Controls[@ControlName"&amp;DocumentLanguage&amp;"]")</f>
        <v>Gestion continue de la vulnérabilité</v>
      </c>
      <c r="C8" t="str" cm="1">
        <f t="array" aca="1" ref="C8"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1 - Non efficace</v>
      </c>
      <c r="D8" s="199" t="s">
        <v>169</v>
      </c>
      <c r="E8" s="200" t="s">
        <v>170</v>
      </c>
      <c r="F8">
        <v>0.9</v>
      </c>
      <c r="G8" s="8" cm="1">
        <f t="array" aca="1" ref="G8" ca="1">SUM(_xlfn._xlws.FILTER(tbl_Safeguards[Poid d''implémentation
Implementation weight],tbl_Safeguards[ControlID]=tbl_Controls[[#This Row],[ID
ID]]))/SUM(_xlfn._xlws.FILTER(tbl_Safeguards[Poid du safeguard
Weight per safeguard],tbl_Safeguards[ControlID]=tbl_Controls[[#This Row],[ID
ID]]))</f>
        <v>0.48</v>
      </c>
      <c r="H8">
        <f ca="1">tbl_Controls[[#This Row],[Score du controle
Score of controls in Place (Total score)]]*tbl_Controls[[#This Row],[Poid du controle
Control Weight]]</f>
        <v>0.432</v>
      </c>
    </row>
    <row r="9" spans="1:8" ht="132.75">
      <c r="A9" s="89">
        <f>tbl_REF_CIS_Controls[[#This Row],[ControlID]]</f>
        <v>8</v>
      </c>
      <c r="B9" t="str" cm="1">
        <f t="array" aca="1" ref="B9" ca="1">INDIRECT("tbl_REF_CIS_Controls[@ControlName"&amp;DocumentLanguage&amp;"]")</f>
        <v>Gestion du journal d'audit</v>
      </c>
      <c r="C9" t="str" cm="1">
        <f t="array" aca="1" ref="C9"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1 - Non efficace</v>
      </c>
      <c r="D9" s="201" t="s">
        <v>171</v>
      </c>
      <c r="E9" s="202" t="s">
        <v>172</v>
      </c>
      <c r="F9">
        <v>0.75</v>
      </c>
      <c r="G9" s="8" cm="1">
        <f t="array" aca="1" ref="G9" ca="1">SUM(_xlfn._xlws.FILTER(tbl_Safeguards[Poid d''implémentation
Implementation weight],tbl_Safeguards[ControlID]=tbl_Controls[[#This Row],[ID
ID]]))/SUM(_xlfn._xlws.FILTER(tbl_Safeguards[Poid du safeguard
Weight per safeguard],tbl_Safeguards[ControlID]=tbl_Controls[[#This Row],[ID
ID]]))</f>
        <v>8.5714285714285715E-2</v>
      </c>
      <c r="H9">
        <f ca="1">tbl_Controls[[#This Row],[Score du controle
Score of controls in Place (Total score)]]*tbl_Controls[[#This Row],[Poid du controle
Control Weight]]</f>
        <v>6.4285714285714279E-2</v>
      </c>
    </row>
    <row r="10" spans="1:8" ht="108.75">
      <c r="A10" s="89">
        <f>tbl_REF_CIS_Controls[[#This Row],[ControlID]]</f>
        <v>9</v>
      </c>
      <c r="B10" t="str" cm="1">
        <f t="array" aca="1" ref="B10" ca="1">INDIRECT("tbl_REF_CIS_Controls[@ControlName"&amp;DocumentLanguage&amp;"]")</f>
        <v>Protection des courriels et des navigateurs web</v>
      </c>
      <c r="C10" t="str" cm="1">
        <f t="array" aca="1" ref="C10"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1 - Non efficace</v>
      </c>
      <c r="D10" s="199" t="s">
        <v>173</v>
      </c>
      <c r="E10" s="200" t="s">
        <v>174</v>
      </c>
      <c r="F10">
        <v>0.7</v>
      </c>
      <c r="G10" s="8" cm="1">
        <f t="array" aca="1" ref="G10" ca="1">SUM(_xlfn._xlws.FILTER(tbl_Safeguards[Poid d''implémentation
Implementation weight],tbl_Safeguards[ControlID]=tbl_Controls[[#This Row],[ID
ID]]))/SUM(_xlfn._xlws.FILTER(tbl_Safeguards[Poid du safeguard
Weight per safeguard],tbl_Safeguards[ControlID]=tbl_Controls[[#This Row],[ID
ID]]))</f>
        <v>0.27272727272727271</v>
      </c>
      <c r="H10">
        <f ca="1">tbl_Controls[[#This Row],[Score du controle
Score of controls in Place (Total score)]]*tbl_Controls[[#This Row],[Poid du controle
Control Weight]]</f>
        <v>0.19090909090909089</v>
      </c>
    </row>
    <row r="11" spans="1:8" ht="108.75">
      <c r="A11" s="89">
        <f>tbl_REF_CIS_Controls[[#This Row],[ControlID]]</f>
        <v>10</v>
      </c>
      <c r="B11" t="str" cm="1">
        <f t="array" aca="1" ref="B11" ca="1">INDIRECT("tbl_REF_CIS_Controls[@ControlName"&amp;DocumentLanguage&amp;"]")</f>
        <v>Défenses contre les logiciels malveillants</v>
      </c>
      <c r="C11" t="str" cm="1">
        <f t="array" aca="1" ref="C11"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3 - Efficace</v>
      </c>
      <c r="D11" s="201" t="s">
        <v>175</v>
      </c>
      <c r="E11" s="202" t="s">
        <v>176</v>
      </c>
      <c r="F11">
        <v>0.85</v>
      </c>
      <c r="G11" s="8" cm="1">
        <f t="array" aca="1" ref="G11" ca="1">SUM(_xlfn._xlws.FILTER(tbl_Safeguards[Poid d''implémentation
Implementation weight],tbl_Safeguards[ControlID]=tbl_Controls[[#This Row],[ID
ID]]))/SUM(_xlfn._xlws.FILTER(tbl_Safeguards[Poid du safeguard
Weight per safeguard],tbl_Safeguards[ControlID]=tbl_Controls[[#This Row],[ID
ID]]))</f>
        <v>1</v>
      </c>
      <c r="H11">
        <f ca="1">tbl_Controls[[#This Row],[Score du controle
Score of controls in Place (Total score)]]*tbl_Controls[[#This Row],[Poid du controle
Control Weight]]</f>
        <v>0.85</v>
      </c>
    </row>
    <row r="12" spans="1:8" ht="120.75">
      <c r="A12" s="89">
        <f>tbl_REF_CIS_Controls[[#This Row],[ControlID]]</f>
        <v>11</v>
      </c>
      <c r="B12" t="str" cm="1">
        <f t="array" aca="1" ref="B12" ca="1">INDIRECT("tbl_REF_CIS_Controls[@ControlName"&amp;DocumentLanguage&amp;"]")</f>
        <v>Récupération des données</v>
      </c>
      <c r="C12" t="str" cm="1">
        <f t="array" aca="1" ref="C12"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2 - Partiellement efficace</v>
      </c>
      <c r="D12" s="199" t="s">
        <v>177</v>
      </c>
      <c r="E12" s="200" t="s">
        <v>178</v>
      </c>
      <c r="F12">
        <v>0.8</v>
      </c>
      <c r="G12" s="8" cm="1">
        <f t="array" aca="1" ref="G12" ca="1">SUM(_xlfn._xlws.FILTER(tbl_Safeguards[Poid d''implémentation
Implementation weight],tbl_Safeguards[ControlID]=tbl_Controls[[#This Row],[ID
ID]]))/SUM(_xlfn._xlws.FILTER(tbl_Safeguards[Poid du safeguard
Weight per safeguard],tbl_Safeguards[ControlID]=tbl_Controls[[#This Row],[ID
ID]]))</f>
        <v>0.78947368421052633</v>
      </c>
      <c r="H12">
        <f ca="1">tbl_Controls[[#This Row],[Score du controle
Score of controls in Place (Total score)]]*tbl_Controls[[#This Row],[Poid du controle
Control Weight]]</f>
        <v>0.63157894736842113</v>
      </c>
    </row>
    <row r="13" spans="1:8" ht="96.75">
      <c r="A13" s="89">
        <f>tbl_REF_CIS_Controls[[#This Row],[ControlID]]</f>
        <v>12</v>
      </c>
      <c r="B13" t="str" cm="1">
        <f t="array" aca="1" ref="B13" ca="1">INDIRECT("tbl_REF_CIS_Controls[@ControlName"&amp;DocumentLanguage&amp;"]")</f>
        <v>Gestion de l'infrastructure du réseau</v>
      </c>
      <c r="C13" t="str" cm="1">
        <f t="array" aca="1" ref="C13"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3 - Efficace</v>
      </c>
      <c r="D13" s="201" t="s">
        <v>179</v>
      </c>
      <c r="E13" s="202" t="s">
        <v>180</v>
      </c>
      <c r="F13">
        <v>0.75</v>
      </c>
      <c r="G13" s="8" cm="1">
        <f t="array" aca="1" ref="G13" ca="1">SUM(_xlfn._xlws.FILTER(tbl_Safeguards[Poid d''implémentation
Implementation weight],tbl_Safeguards[ControlID]=tbl_Controls[[#This Row],[ID
ID]]))/SUM(_xlfn._xlws.FILTER(tbl_Safeguards[Poid du safeguard
Weight per safeguard],tbl_Safeguards[ControlID]=tbl_Controls[[#This Row],[ID
ID]]))</f>
        <v>1</v>
      </c>
      <c r="H13">
        <f ca="1">tbl_Controls[[#This Row],[Score du controle
Score of controls in Place (Total score)]]*tbl_Controls[[#This Row],[Poid du controle
Control Weight]]</f>
        <v>0.75</v>
      </c>
    </row>
    <row r="14" spans="1:8" ht="108.75">
      <c r="A14" s="89">
        <f>tbl_REF_CIS_Controls[[#This Row],[ControlID]]</f>
        <v>13</v>
      </c>
      <c r="B14" t="str" cm="1">
        <f t="array" aca="1" ref="B14" ca="1">INDIRECT("tbl_REF_CIS_Controls[@ControlName"&amp;DocumentLanguage&amp;"]")</f>
        <v>Surveillance et défense des réseaux</v>
      </c>
      <c r="C14" t="str" cm="1">
        <f t="array" aca="1" ref="C14"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2 - Partiellement efficace</v>
      </c>
      <c r="D14" s="199" t="s">
        <v>181</v>
      </c>
      <c r="E14" s="200" t="s">
        <v>182</v>
      </c>
      <c r="F14">
        <v>0.85</v>
      </c>
      <c r="G14" s="8" cm="1">
        <f t="array" aca="1" ref="G14" ca="1">SUM(_xlfn._xlws.FILTER(tbl_Safeguards[Poid d''implémentation
Implementation weight],tbl_Safeguards[ControlID]=tbl_Controls[[#This Row],[ID
ID]]))/SUM(_xlfn._xlws.FILTER(tbl_Safeguards[Poid du safeguard
Weight per safeguard],tbl_Safeguards[ControlID]=tbl_Controls[[#This Row],[ID
ID]]))</f>
        <v>0.68</v>
      </c>
      <c r="H14">
        <f ca="1">tbl_Controls[[#This Row],[Score du controle
Score of controls in Place (Total score)]]*tbl_Controls[[#This Row],[Poid du controle
Control Weight]]</f>
        <v>0.57800000000000007</v>
      </c>
    </row>
    <row r="15" spans="1:8" ht="120.75">
      <c r="A15" s="89">
        <f>tbl_REF_CIS_Controls[[#This Row],[ControlID]]</f>
        <v>14</v>
      </c>
      <c r="B15" t="str" cm="1">
        <f t="array" aca="1" ref="B15" ca="1">INDIRECT("tbl_REF_CIS_Controls[@ControlName"&amp;DocumentLanguage&amp;"]")</f>
        <v>Formation à la sensibilisation et aux compétences en matière de sécurité</v>
      </c>
      <c r="C15" t="str" cm="1">
        <f t="array" aca="1" ref="C15"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3 - Efficace</v>
      </c>
      <c r="D15" s="201" t="s">
        <v>183</v>
      </c>
      <c r="E15" s="202" t="s">
        <v>184</v>
      </c>
      <c r="F15">
        <v>0.7</v>
      </c>
      <c r="G15" s="8" cm="1">
        <f t="array" aca="1" ref="G15" ca="1">SUM(_xlfn._xlws.FILTER(tbl_Safeguards[Poid d''implémentation
Implementation weight],tbl_Safeguards[ControlID]=tbl_Controls[[#This Row],[ID
ID]]))/SUM(_xlfn._xlws.FILTER(tbl_Safeguards[Poid du safeguard
Weight per safeguard],tbl_Safeguards[ControlID]=tbl_Controls[[#This Row],[ID
ID]]))</f>
        <v>1</v>
      </c>
      <c r="H15">
        <f ca="1">tbl_Controls[[#This Row],[Score du controle
Score of controls in Place (Total score)]]*tbl_Controls[[#This Row],[Poid du controle
Control Weight]]</f>
        <v>0.7</v>
      </c>
    </row>
    <row r="16" spans="1:8" ht="108.75">
      <c r="A16" s="89">
        <f>tbl_REF_CIS_Controls[[#This Row],[ControlID]]</f>
        <v>15</v>
      </c>
      <c r="B16" t="str" cm="1">
        <f t="array" aca="1" ref="B16" ca="1">INDIRECT("tbl_REF_CIS_Controls[@ControlName"&amp;DocumentLanguage&amp;"]")</f>
        <v>Gestion des fournisseurs de services</v>
      </c>
      <c r="C16" t="str" cm="1">
        <f t="array" aca="1" ref="C16"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3 - Efficace</v>
      </c>
      <c r="D16" s="199" t="s">
        <v>185</v>
      </c>
      <c r="E16" s="200" t="s">
        <v>186</v>
      </c>
      <c r="F16">
        <v>0.65</v>
      </c>
      <c r="G16" s="8" cm="1">
        <f t="array" aca="1" ref="G16" ca="1">SUM(_xlfn._xlws.FILTER(tbl_Safeguards[Poid d''implémentation
Implementation weight],tbl_Safeguards[ControlID]=tbl_Controls[[#This Row],[ID
ID]]))/SUM(_xlfn._xlws.FILTER(tbl_Safeguards[Poid du safeguard
Weight per safeguard],tbl_Safeguards[ControlID]=tbl_Controls[[#This Row],[ID
ID]]))</f>
        <v>1</v>
      </c>
      <c r="H16">
        <f ca="1">tbl_Controls[[#This Row],[Score du controle
Score of controls in Place (Total score)]]*tbl_Controls[[#This Row],[Poid du controle
Control Weight]]</f>
        <v>0.65</v>
      </c>
    </row>
    <row r="17" spans="1:8" ht="132.75">
      <c r="A17" s="89">
        <f>tbl_REF_CIS_Controls[[#This Row],[ControlID]]</f>
        <v>16</v>
      </c>
      <c r="B17" t="str" cm="1">
        <f t="array" aca="1" ref="B17" ca="1">INDIRECT("tbl_REF_CIS_Controls[@ControlName"&amp;DocumentLanguage&amp;"]")</f>
        <v>Sécurité des logiciels et Applications</v>
      </c>
      <c r="C17" t="str" cm="1">
        <f t="array" aca="1" ref="C17"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3 - Efficace</v>
      </c>
      <c r="D17" s="201" t="s">
        <v>187</v>
      </c>
      <c r="E17" s="202" t="s">
        <v>188</v>
      </c>
      <c r="F17">
        <v>0.75</v>
      </c>
      <c r="G17" s="8" cm="1">
        <f t="array" aca="1" ref="G17" ca="1">SUM(_xlfn._xlws.FILTER(tbl_Safeguards[Poid d''implémentation
Implementation weight],tbl_Safeguards[ControlID]=tbl_Controls[[#This Row],[ID
ID]]))/SUM(_xlfn._xlws.FILTER(tbl_Safeguards[Poid du safeguard
Weight per safeguard],tbl_Safeguards[ControlID]=tbl_Controls[[#This Row],[ID
ID]]))</f>
        <v>0.83333333333333337</v>
      </c>
      <c r="H17">
        <f ca="1">tbl_Controls[[#This Row],[Score du controle
Score of controls in Place (Total score)]]*tbl_Controls[[#This Row],[Poid du controle
Control Weight]]</f>
        <v>0.625</v>
      </c>
    </row>
    <row r="18" spans="1:8" ht="120.75">
      <c r="A18" s="89">
        <f>tbl_REF_CIS_Controls[[#This Row],[ControlID]]</f>
        <v>17</v>
      </c>
      <c r="B18" t="str" cm="1">
        <f t="array" aca="1" ref="B18" ca="1">INDIRECT("tbl_REF_CIS_Controls[@ControlName"&amp;DocumentLanguage&amp;"]")</f>
        <v>Gestion des réponses aux incidents</v>
      </c>
      <c r="C18" t="str" cm="1">
        <f t="array" aca="1" ref="C18"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3 - Efficace</v>
      </c>
      <c r="D18" s="199" t="s">
        <v>189</v>
      </c>
      <c r="E18" s="200" t="s">
        <v>190</v>
      </c>
      <c r="F18">
        <v>0.85</v>
      </c>
      <c r="G18" s="8" cm="1">
        <f t="array" aca="1" ref="G18" ca="1">SUM(_xlfn._xlws.FILTER(tbl_Safeguards[Poid d''implémentation
Implementation weight],tbl_Safeguards[ControlID]=tbl_Controls[[#This Row],[ID
ID]]))/SUM(_xlfn._xlws.FILTER(tbl_Safeguards[Poid du safeguard
Weight per safeguard],tbl_Safeguards[ControlID]=tbl_Controls[[#This Row],[ID
ID]]))</f>
        <v>1</v>
      </c>
      <c r="H18">
        <f ca="1">tbl_Controls[[#This Row],[Score du controle
Score of controls in Place (Total score)]]*tbl_Controls[[#This Row],[Poid du controle
Control Weight]]</f>
        <v>0.85</v>
      </c>
    </row>
    <row r="19" spans="1:8" ht="108.75">
      <c r="A19" s="89">
        <f>tbl_REF_CIS_Controls[[#This Row],[ControlID]]</f>
        <v>18</v>
      </c>
      <c r="B19" t="str" cm="1">
        <f t="array" aca="1" ref="B19" ca="1">INDIRECT("tbl_REF_CIS_Controls[@ControlName"&amp;DocumentLanguage&amp;"]")</f>
        <v>Test de pénétration</v>
      </c>
      <c r="C19" t="str" cm="1">
        <f t="array" aca="1" ref="C19"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
      </c>
      <c r="D19" s="201" t="s">
        <v>191</v>
      </c>
      <c r="E19" s="202" t="s">
        <v>192</v>
      </c>
      <c r="F19">
        <v>0.7</v>
      </c>
      <c r="G19" s="8" t="e" cm="1">
        <f t="array" aca="1" ref="G19" ca="1">SUM(_xlfn._xlws.FILTER(tbl_Safeguards[Poid d''implémentation
Implementation weight],tbl_Safeguards[ControlID]=tbl_Controls[[#This Row],[ID
ID]]))/SUM(_xlfn._xlws.FILTER(tbl_Safeguards[Poid du safeguard
Weight per safeguard],tbl_Safeguards[ControlID]=tbl_Controls[[#This Row],[ID
ID]]))</f>
        <v>#N/A</v>
      </c>
      <c r="H19" t="e">
        <f ca="1">tbl_Controls[[#This Row],[Score du controle
Score of controls in Place (Total score)]]*tbl_Controls[[#This Row],[Poid du controle
Control Weight]]</f>
        <v>#N/A</v>
      </c>
    </row>
    <row r="20" spans="1:8"/>
    <row r="21" spans="1:8"/>
  </sheetData>
  <dataValidations count="1">
    <dataValidation allowBlank="1" showInputMessage="1" showErrorMessage="1" promptTitle="Yes" sqref="C2:C19" xr:uid="{9D57B2DD-284D-4023-859A-0BD0CC27BAD6}"/>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9CED4-5DE3-4129-A461-1E5DB99BC442}">
  <sheetPr codeName="Sheet3"/>
  <dimension ref="A1:I26"/>
  <sheetViews>
    <sheetView topLeftCell="A18" workbookViewId="0">
      <selection activeCell="E19" sqref="E19"/>
    </sheetView>
  </sheetViews>
  <sheetFormatPr defaultColWidth="8.5703125" defaultRowHeight="15" customHeight="1"/>
  <cols>
    <col min="1" max="1" width="13" bestFit="1" customWidth="1"/>
    <col min="2" max="2" width="40.5703125" bestFit="1" customWidth="1"/>
    <col min="3" max="3" width="34.5703125" customWidth="1"/>
    <col min="4" max="4" width="24.5703125" customWidth="1"/>
    <col min="5" max="5" width="65.140625" customWidth="1"/>
    <col min="6" max="6" width="24.5703125" customWidth="1"/>
    <col min="7" max="7" width="14" bestFit="1" customWidth="1"/>
    <col min="8" max="8" width="24.5703125" bestFit="1" customWidth="1"/>
    <col min="9" max="9" width="21.5703125" bestFit="1" customWidth="1"/>
  </cols>
  <sheetData>
    <row r="1" spans="1:9" ht="45">
      <c r="A1" s="8" t="s">
        <v>193</v>
      </c>
      <c r="B1" s="8" t="s">
        <v>194</v>
      </c>
      <c r="C1" s="8" t="s">
        <v>195</v>
      </c>
      <c r="D1" s="8" t="s">
        <v>196</v>
      </c>
      <c r="E1" s="8" t="s">
        <v>197</v>
      </c>
      <c r="F1" s="8" t="s">
        <v>198</v>
      </c>
      <c r="G1" s="8" t="s">
        <v>199</v>
      </c>
      <c r="H1" s="8" t="s">
        <v>200</v>
      </c>
      <c r="I1" s="8" t="s">
        <v>201</v>
      </c>
    </row>
    <row r="2" spans="1:9" ht="144.75">
      <c r="A2" s="185" t="s">
        <v>202</v>
      </c>
      <c r="B2" s="186" t="s">
        <v>203</v>
      </c>
      <c r="C2" s="187" t="s">
        <v>204</v>
      </c>
      <c r="D2" s="187" t="s">
        <v>205</v>
      </c>
      <c r="E2" s="37" t="s">
        <v>206</v>
      </c>
      <c r="F2" s="188" t="s">
        <v>207</v>
      </c>
      <c r="G2" s="187" t="s">
        <v>208</v>
      </c>
      <c r="H2" s="103"/>
      <c r="I2" s="103"/>
    </row>
    <row r="3" spans="1:9" ht="120.75">
      <c r="A3" s="189" t="s">
        <v>202</v>
      </c>
      <c r="B3" s="190" t="s">
        <v>209</v>
      </c>
      <c r="C3" s="191" t="s">
        <v>210</v>
      </c>
      <c r="D3" s="191" t="s">
        <v>211</v>
      </c>
      <c r="E3" s="37" t="s">
        <v>212</v>
      </c>
      <c r="F3" s="192" t="s">
        <v>207</v>
      </c>
      <c r="G3" s="191" t="s">
        <v>213</v>
      </c>
      <c r="H3" s="51"/>
      <c r="I3" s="51"/>
    </row>
    <row r="4" spans="1:9" ht="144.75">
      <c r="A4" s="189" t="s">
        <v>202</v>
      </c>
      <c r="B4" s="193" t="s">
        <v>214</v>
      </c>
      <c r="C4" s="194" t="s">
        <v>215</v>
      </c>
      <c r="D4" s="194" t="s">
        <v>216</v>
      </c>
      <c r="E4" s="37" t="s">
        <v>217</v>
      </c>
      <c r="F4" s="192" t="s">
        <v>207</v>
      </c>
      <c r="G4" s="194" t="s">
        <v>208</v>
      </c>
      <c r="H4" s="51"/>
      <c r="I4" s="51"/>
    </row>
    <row r="5" spans="1:9" ht="120.75">
      <c r="A5" s="189" t="s">
        <v>202</v>
      </c>
      <c r="B5" s="190" t="s">
        <v>218</v>
      </c>
      <c r="C5" s="191" t="s">
        <v>219</v>
      </c>
      <c r="D5" s="191" t="s">
        <v>220</v>
      </c>
      <c r="E5" s="37" t="s">
        <v>221</v>
      </c>
      <c r="F5" s="192" t="s">
        <v>207</v>
      </c>
      <c r="G5" s="191" t="s">
        <v>222</v>
      </c>
      <c r="H5" s="51"/>
      <c r="I5" s="51"/>
    </row>
    <row r="6" spans="1:9" ht="132.75">
      <c r="A6" s="189" t="s">
        <v>202</v>
      </c>
      <c r="B6" s="193" t="s">
        <v>223</v>
      </c>
      <c r="C6" s="194" t="s">
        <v>224</v>
      </c>
      <c r="D6" s="194" t="s">
        <v>225</v>
      </c>
      <c r="E6" s="37" t="s">
        <v>226</v>
      </c>
      <c r="F6" s="192" t="s">
        <v>207</v>
      </c>
      <c r="G6" s="194" t="s">
        <v>227</v>
      </c>
      <c r="H6" s="51"/>
      <c r="I6" s="51"/>
    </row>
    <row r="7" spans="1:9" ht="156.75">
      <c r="A7" s="189" t="s">
        <v>202</v>
      </c>
      <c r="B7" s="190" t="s">
        <v>228</v>
      </c>
      <c r="C7" s="191" t="s">
        <v>229</v>
      </c>
      <c r="D7" s="191" t="s">
        <v>230</v>
      </c>
      <c r="E7" s="37" t="s">
        <v>231</v>
      </c>
      <c r="F7" s="192" t="s">
        <v>207</v>
      </c>
      <c r="G7" s="191" t="s">
        <v>232</v>
      </c>
      <c r="H7" s="51"/>
      <c r="I7" s="51"/>
    </row>
    <row r="8" spans="1:9" ht="132.75">
      <c r="A8" s="189" t="s">
        <v>202</v>
      </c>
      <c r="B8" s="193" t="s">
        <v>233</v>
      </c>
      <c r="C8" s="194" t="s">
        <v>234</v>
      </c>
      <c r="D8" s="194" t="s">
        <v>235</v>
      </c>
      <c r="E8" s="37" t="s">
        <v>236</v>
      </c>
      <c r="F8" s="195" t="s">
        <v>237</v>
      </c>
      <c r="G8" s="194" t="s">
        <v>222</v>
      </c>
      <c r="H8" s="51"/>
      <c r="I8" s="51"/>
    </row>
    <row r="9" spans="1:9" ht="144.75">
      <c r="A9" s="189" t="s">
        <v>48</v>
      </c>
      <c r="B9" s="190" t="s">
        <v>238</v>
      </c>
      <c r="C9" s="191" t="s">
        <v>239</v>
      </c>
      <c r="D9" s="191" t="s">
        <v>240</v>
      </c>
      <c r="E9" s="37" t="s">
        <v>241</v>
      </c>
      <c r="F9" s="195" t="s">
        <v>237</v>
      </c>
      <c r="G9" s="191" t="s">
        <v>222</v>
      </c>
      <c r="H9" s="51"/>
      <c r="I9" s="51"/>
    </row>
    <row r="10" spans="1:9" ht="132.75">
      <c r="A10" s="189" t="s">
        <v>48</v>
      </c>
      <c r="B10" s="193" t="s">
        <v>242</v>
      </c>
      <c r="C10" s="194" t="s">
        <v>243</v>
      </c>
      <c r="D10" s="194" t="s">
        <v>244</v>
      </c>
      <c r="E10" s="37" t="s">
        <v>221</v>
      </c>
      <c r="F10" s="195" t="s">
        <v>237</v>
      </c>
      <c r="G10" s="194" t="s">
        <v>227</v>
      </c>
      <c r="H10" s="51"/>
      <c r="I10" s="51"/>
    </row>
    <row r="11" spans="1:9" ht="144.75">
      <c r="A11" s="196" t="s">
        <v>55</v>
      </c>
      <c r="B11" s="190" t="s">
        <v>245</v>
      </c>
      <c r="C11" s="191" t="s">
        <v>246</v>
      </c>
      <c r="D11" s="191" t="s">
        <v>247</v>
      </c>
      <c r="E11" s="51" t="s">
        <v>248</v>
      </c>
      <c r="F11" s="195" t="s">
        <v>237</v>
      </c>
      <c r="G11" s="191" t="s">
        <v>249</v>
      </c>
      <c r="H11" s="51"/>
      <c r="I11" s="51"/>
    </row>
    <row r="12" spans="1:9" ht="132.75">
      <c r="A12" s="196" t="s">
        <v>55</v>
      </c>
      <c r="B12" s="193" t="s">
        <v>250</v>
      </c>
      <c r="C12" s="194" t="s">
        <v>251</v>
      </c>
      <c r="D12" s="194" t="s">
        <v>252</v>
      </c>
      <c r="E12" s="51" t="s">
        <v>248</v>
      </c>
      <c r="F12" s="197" t="s">
        <v>253</v>
      </c>
      <c r="G12" s="194" t="s">
        <v>254</v>
      </c>
      <c r="H12" s="51"/>
      <c r="I12" s="51"/>
    </row>
    <row r="13" spans="1:9" ht="156.75">
      <c r="A13" s="196" t="s">
        <v>64</v>
      </c>
      <c r="B13" s="190" t="s">
        <v>255</v>
      </c>
      <c r="C13" s="191" t="s">
        <v>256</v>
      </c>
      <c r="D13" s="191" t="s">
        <v>257</v>
      </c>
      <c r="E13" s="37" t="s">
        <v>258</v>
      </c>
      <c r="F13" s="195" t="s">
        <v>237</v>
      </c>
      <c r="G13" s="191" t="s">
        <v>222</v>
      </c>
      <c r="H13" s="51"/>
      <c r="I13" s="51"/>
    </row>
    <row r="14" spans="1:9" ht="132.75">
      <c r="A14" s="196" t="s">
        <v>64</v>
      </c>
      <c r="B14" s="193" t="s">
        <v>259</v>
      </c>
      <c r="C14" s="194" t="s">
        <v>260</v>
      </c>
      <c r="D14" s="194" t="s">
        <v>261</v>
      </c>
      <c r="E14" s="37" t="s">
        <v>262</v>
      </c>
      <c r="F14" s="195" t="s">
        <v>237</v>
      </c>
      <c r="G14" s="194" t="s">
        <v>222</v>
      </c>
      <c r="H14" s="51"/>
      <c r="I14" s="51"/>
    </row>
    <row r="15" spans="1:9" ht="132.75">
      <c r="A15" s="198" t="s">
        <v>71</v>
      </c>
      <c r="B15" s="190" t="s">
        <v>263</v>
      </c>
      <c r="C15" s="191" t="s">
        <v>264</v>
      </c>
      <c r="D15" s="191" t="s">
        <v>265</v>
      </c>
      <c r="E15" s="37" t="s">
        <v>266</v>
      </c>
      <c r="F15" s="197" t="s">
        <v>253</v>
      </c>
      <c r="G15" s="191" t="s">
        <v>267</v>
      </c>
      <c r="H15" s="51"/>
      <c r="I15" s="51"/>
    </row>
    <row r="16" spans="1:9" ht="144.75">
      <c r="A16" s="198" t="s">
        <v>71</v>
      </c>
      <c r="B16" s="193" t="s">
        <v>268</v>
      </c>
      <c r="C16" s="194" t="s">
        <v>269</v>
      </c>
      <c r="D16" s="194" t="s">
        <v>270</v>
      </c>
      <c r="E16" s="37" t="s">
        <v>271</v>
      </c>
      <c r="F16" s="197" t="s">
        <v>253</v>
      </c>
      <c r="G16" s="194" t="s">
        <v>272</v>
      </c>
      <c r="H16" s="51"/>
      <c r="I16" s="51"/>
    </row>
    <row r="17" spans="1:9" ht="132.75">
      <c r="A17" s="198" t="s">
        <v>273</v>
      </c>
      <c r="B17" s="190" t="s">
        <v>274</v>
      </c>
      <c r="C17" s="191" t="s">
        <v>275</v>
      </c>
      <c r="D17" s="191" t="s">
        <v>276</v>
      </c>
      <c r="E17" s="37" t="s">
        <v>277</v>
      </c>
      <c r="F17" s="197" t="s">
        <v>253</v>
      </c>
      <c r="G17" s="191" t="s">
        <v>278</v>
      </c>
      <c r="H17" s="51"/>
      <c r="I17" s="51"/>
    </row>
    <row r="18" spans="1:9" ht="144.75">
      <c r="A18" s="198" t="s">
        <v>80</v>
      </c>
      <c r="B18" s="193" t="s">
        <v>279</v>
      </c>
      <c r="C18" s="194" t="s">
        <v>280</v>
      </c>
      <c r="D18" s="194" t="s">
        <v>281</v>
      </c>
      <c r="E18" s="37" t="s">
        <v>282</v>
      </c>
      <c r="F18" s="197" t="s">
        <v>253</v>
      </c>
      <c r="G18" s="194" t="s">
        <v>278</v>
      </c>
      <c r="H18" s="51"/>
      <c r="I18" s="51"/>
    </row>
    <row r="19" spans="1:9" ht="132.75">
      <c r="A19" s="189" t="s">
        <v>283</v>
      </c>
      <c r="B19" s="190" t="s">
        <v>284</v>
      </c>
      <c r="C19" s="191" t="s">
        <v>285</v>
      </c>
      <c r="D19" s="191" t="s">
        <v>286</v>
      </c>
      <c r="E19" s="37" t="s">
        <v>287</v>
      </c>
      <c r="F19" s="195" t="s">
        <v>237</v>
      </c>
      <c r="G19" s="191" t="s">
        <v>288</v>
      </c>
      <c r="H19" s="51"/>
      <c r="I19" s="51"/>
    </row>
    <row r="20" spans="1:9" ht="120.75">
      <c r="A20" s="189" t="s">
        <v>289</v>
      </c>
      <c r="B20" s="193" t="s">
        <v>290</v>
      </c>
      <c r="C20" s="194" t="s">
        <v>291</v>
      </c>
      <c r="D20" s="194" t="s">
        <v>292</v>
      </c>
      <c r="E20" s="37" t="s">
        <v>217</v>
      </c>
      <c r="F20" s="195" t="s">
        <v>237</v>
      </c>
      <c r="G20" s="194" t="s">
        <v>293</v>
      </c>
      <c r="H20" s="51"/>
      <c r="I20" s="51"/>
    </row>
    <row r="21" spans="1:9">
      <c r="A21" s="51"/>
      <c r="B21" s="51"/>
      <c r="C21" s="51"/>
      <c r="D21" s="51"/>
      <c r="E21" s="51"/>
      <c r="F21" s="51"/>
      <c r="G21" s="51"/>
      <c r="H21" s="51"/>
      <c r="I21" s="51"/>
    </row>
    <row r="22" spans="1:9">
      <c r="A22" s="51"/>
      <c r="B22" s="51"/>
      <c r="C22" s="51"/>
      <c r="D22" s="51"/>
      <c r="E22" s="37"/>
      <c r="F22" s="51"/>
      <c r="G22" s="51"/>
      <c r="H22" s="51"/>
      <c r="I22" s="51"/>
    </row>
    <row r="23" spans="1:9">
      <c r="A23" s="51"/>
      <c r="B23" s="51"/>
      <c r="C23" s="51"/>
      <c r="D23" s="51"/>
      <c r="E23" s="51"/>
      <c r="F23" s="51"/>
      <c r="G23" s="51"/>
      <c r="H23" s="51"/>
      <c r="I23" s="51"/>
    </row>
    <row r="24" spans="1:9">
      <c r="A24" s="51"/>
      <c r="B24" s="51"/>
      <c r="C24" s="51"/>
      <c r="D24" s="51"/>
      <c r="E24" s="37"/>
      <c r="F24" s="51"/>
      <c r="G24" s="51"/>
      <c r="H24" s="51"/>
      <c r="I24" s="51"/>
    </row>
    <row r="25" spans="1:9">
      <c r="A25" s="51"/>
      <c r="B25" s="51"/>
      <c r="C25" s="51"/>
      <c r="D25" s="51"/>
      <c r="E25" s="51"/>
      <c r="F25" s="51"/>
      <c r="G25" s="51"/>
      <c r="H25" s="51"/>
      <c r="I25" s="51"/>
    </row>
    <row r="26" spans="1:9">
      <c r="A26" s="51"/>
      <c r="B26" s="51"/>
      <c r="C26" s="51"/>
      <c r="D26" s="51"/>
      <c r="E26" s="51"/>
      <c r="F26" s="51"/>
      <c r="G26" s="51"/>
      <c r="H26" s="51"/>
      <c r="I26" s="51"/>
    </row>
  </sheetData>
  <sheetProtection formatCells="0" formatColumns="0" formatRows="0" sort="0" autoFilter="0"/>
  <dataValidations count="1">
    <dataValidation type="list" allowBlank="1" showInputMessage="1" showErrorMessage="1" sqref="E2:E26" xr:uid="{56FB6173-5149-4857-8A5B-1A4922193FC7}">
      <formula1>TaxoCausesN3</formula1>
    </dataValidation>
  </dataValidations>
  <pageMargins left="0.7" right="0.7" top="0.75" bottom="0.75" header="0.3" footer="0.3"/>
  <pageSetup paperSize="161"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F1524F5-1390-468F-9092-7CD5B95B0AD2}">
          <x14:formula1>
            <xm:f>'REF - Taxo Cause'!$H$2:$H$58</xm:f>
          </x14:formula1>
          <xm:sqref>E27:E100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4EB76-3AB6-4F7F-BB28-AB84712CE38C}">
  <sheetPr codeName="Sheet2"/>
  <dimension ref="A1:D20"/>
  <sheetViews>
    <sheetView zoomScale="70" zoomScaleNormal="70" workbookViewId="0">
      <selection sqref="A1:C19"/>
    </sheetView>
  </sheetViews>
  <sheetFormatPr defaultColWidth="8.7109375" defaultRowHeight="15"/>
  <cols>
    <col min="1" max="1" width="3.7109375" bestFit="1" customWidth="1"/>
    <col min="2" max="2" width="60" bestFit="1" customWidth="1"/>
    <col min="3" max="3" width="188.140625" customWidth="1"/>
  </cols>
  <sheetData>
    <row r="1" spans="1:4" ht="24">
      <c r="A1" s="226" t="str">
        <f>IF(DocumentLanguage="FR",'DATA - PPT'!A19,'DATA - PPT'!B19)</f>
        <v>Solution</v>
      </c>
      <c r="B1" s="110" t="str">
        <f>IF(DocumentLanguage="FR",'DATA - PPT'!A20,'DATA - PPT'!B20)</f>
        <v>Contexte de la solution</v>
      </c>
      <c r="C1" s="115" t="str">
        <f>_xlfn.CONCAT('Contexte et portée'!C6:E6)</f>
        <v>L'application AX360 ainsi que la data platform sont deployés dans GCP. L'initiative vise a analyser la posture de sécurité de GCP et AX360 incluse</v>
      </c>
      <c r="D1" s="2"/>
    </row>
    <row r="2" spans="1:4" ht="24">
      <c r="A2" s="226"/>
      <c r="B2" s="110" t="str">
        <f>IF(DocumentLanguage="FR",'DATA - PPT'!A21,'DATA - PPT'!B21)</f>
        <v>Objectif affaires</v>
      </c>
      <c r="C2" s="115" t="str">
        <f>_xlfn.CONCAT('Contexte et portée'!C18:E18)</f>
        <v>AX360 is platform to be used by iA Private Wealth Advisors and employees. Their goals are to increase advisors’ satisfaction and retain them, optimize operating costs by optimizing and digitalizing manual processes, offer a better experience by centralizing the information, improve agility to adapt to market changes and provide competitive edge, and finally, Application portfolio simplification by making employee onboarding easier and support more efficient for both external and internal users.</v>
      </c>
      <c r="D2" s="2"/>
    </row>
    <row r="3" spans="1:4" ht="24">
      <c r="A3" s="226"/>
      <c r="B3" s="110" t="str">
        <f>IF(DocumentLanguage="FR",'DATA - PPT'!A22,'DATA - PPT'!B22)</f>
        <v>Portée de l'analyse</v>
      </c>
      <c r="C3" s="115" t="str">
        <f>_xlfn.CONCAT('Contexte et portée'!C9)</f>
        <v>AX360</v>
      </c>
      <c r="D3" s="2"/>
    </row>
    <row r="4" spans="1:4" ht="24">
      <c r="A4" s="226"/>
      <c r="B4" s="110" t="str">
        <f>IF(DocumentLanguage="FR",'DATA - PPT'!A23,'DATA - PPT'!B23)</f>
        <v>Hors portée de l'analyse</v>
      </c>
      <c r="C4" s="115" t="str">
        <f>_xlfn.CONCAT('Contexte et portée'!E9)</f>
        <v>Composants GCP pour AX360</v>
      </c>
      <c r="D4" s="2"/>
    </row>
    <row r="5" spans="1:4" ht="24">
      <c r="A5" s="107"/>
      <c r="B5" s="111"/>
      <c r="C5" s="116"/>
      <c r="D5" s="2"/>
    </row>
    <row r="6" spans="1:4" ht="24">
      <c r="A6" s="227" t="str">
        <f>IF(DocumentLanguage="FR",'DATA - PPT'!A24,'DATA - PPT'!B24)</f>
        <v>Actif</v>
      </c>
      <c r="B6" s="112" t="str">
        <f>IF(DocumentLanguage="FR",'DATA - PPT'!A25,'DATA - PPT'!B25)</f>
        <v>Nom de l'actif</v>
      </c>
      <c r="C6" s="117" t="str">
        <f>_xlfn.CONCAT('Contexte et portée'!C11:E11)</f>
        <v>AX360</v>
      </c>
      <c r="D6" s="2"/>
    </row>
    <row r="7" spans="1:4" ht="24">
      <c r="A7" s="227"/>
      <c r="B7" s="112" t="str">
        <f>IF(DocumentLanguage="FR",'DATA - PPT'!A26,'DATA - PPT'!B26)</f>
        <v>Catégorisation de l'actif - DIC​</v>
      </c>
      <c r="C7" s="117" t="str">
        <f>_xlfn.TEXTJOIN("-",FALSE,'Contexte et portée'!E25,'Contexte et portée'!C26,'Contexte et portée'!E26)</f>
        <v>3-3-4</v>
      </c>
      <c r="D7" s="2"/>
    </row>
    <row r="8" spans="1:4" ht="24">
      <c r="A8" s="227"/>
      <c r="B8" s="112" t="str">
        <f>IF(DocumentLanguage="FR",'DATA - PPT'!A27,'DATA - PPT'!B27)</f>
        <v>Propriétaire de l'actif​</v>
      </c>
      <c r="C8" s="117" t="str">
        <f>_xlfn.CONCAT('Contexte et portée'!C15)</f>
        <v>Derek Li</v>
      </c>
      <c r="D8" s="2"/>
    </row>
    <row r="9" spans="1:4" ht="24">
      <c r="A9" s="227"/>
      <c r="B9" s="112" t="str">
        <f>IF(DocumentLanguage="FR",'DATA - PPT'!A28,'DATA - PPT'!B28)</f>
        <v>Mandataire de l'actif​</v>
      </c>
      <c r="C9" s="117" t="str">
        <f>_xlfn.CONCAT('Contexte et portée'!E14)</f>
        <v>Sonia Bélanger</v>
      </c>
      <c r="D9" s="2"/>
    </row>
    <row r="10" spans="1:4" ht="24">
      <c r="A10" s="227"/>
      <c r="B10" s="112" t="str">
        <f>IF(DocumentLanguage="FR",'DATA - PPT'!A29,'DATA - PPT'!B29)</f>
        <v>Responsable de l'application​</v>
      </c>
      <c r="C10" s="117" t="str">
        <f>_xlfn.CONCAT('Contexte et portée'!C14)</f>
        <v>Hakim Naji</v>
      </c>
      <c r="D10" s="2"/>
    </row>
    <row r="11" spans="1:4" ht="24">
      <c r="A11" s="227"/>
      <c r="B11" s="112" t="str">
        <f>IF(DocumentLanguage="FR",'DATA - PPT'!A30,'DATA - PPT'!B30)</f>
        <v>Secteur ou Ligne d’affaire concernée​</v>
      </c>
      <c r="C11" s="117" t="str">
        <f>_xlfn.CONCAT('Contexte et portée'!C19:E19)</f>
        <v>Gestion de patrimoine</v>
      </c>
      <c r="D11" s="2"/>
    </row>
    <row r="12" spans="1:4" ht="24">
      <c r="A12" s="111"/>
      <c r="B12" s="111"/>
      <c r="C12" s="116"/>
      <c r="D12" s="2"/>
    </row>
    <row r="13" spans="1:4" ht="24">
      <c r="A13" s="224" t="str">
        <f>IF(DocumentLanguage="FR",'DATA - PPT'!A31,'DATA - PPT'!B31)</f>
        <v>Données</v>
      </c>
      <c r="B13" s="113" t="str">
        <f>IF(DocumentLanguage="FR",'DATA - PPT'!A32,'DATA - PPT'!B32)</f>
        <v>Type de données​</v>
      </c>
      <c r="C13" s="118" t="str">
        <f>_xlfn.CONCAT('Contexte et portée'!C24:E24)</f>
        <v>PII, Données Financieres</v>
      </c>
      <c r="D13" s="2"/>
    </row>
    <row r="14" spans="1:4" ht="24">
      <c r="A14" s="224"/>
      <c r="B14" s="113" t="str">
        <f>IF(DocumentLanguage="FR",'DATA - PPT'!A33,'DATA - PPT'!B33)</f>
        <v>Volumétrie des renseignements personnels​</v>
      </c>
      <c r="C14" s="118" t="str">
        <f>_xlfn.CONCAT('Contexte et portée'!C25)</f>
        <v/>
      </c>
      <c r="D14" s="2"/>
    </row>
    <row r="15" spans="1:4" ht="24">
      <c r="A15" s="224"/>
      <c r="B15" s="113" t="str">
        <f>IF(DocumentLanguage="FR",'DATA - PPT'!A34,'DATA - PPT'!B34)</f>
        <v>Exposition des données​</v>
      </c>
      <c r="C15" s="118" t="str">
        <f>_xlfn.CONCAT('Contexte et portée'!C29:E29)</f>
        <v>Oui</v>
      </c>
      <c r="D15" s="2"/>
    </row>
    <row r="16" spans="1:4" ht="24">
      <c r="A16" s="111"/>
      <c r="B16" s="111"/>
      <c r="C16" s="116"/>
      <c r="D16" s="2"/>
    </row>
    <row r="17" spans="1:4" ht="24">
      <c r="A17" s="225" t="str">
        <f>IF(DocumentLanguage="FR",'DATA - PPT'!A35,'DATA - PPT'!B35)</f>
        <v>Utilisateurs</v>
      </c>
      <c r="B17" s="114" t="str">
        <f>IF(DocumentLanguage="FR",'DATA - PPT'!A36,'DATA - PPT'!B36)</f>
        <v>Nbr d’utilisateurs affaires​</v>
      </c>
      <c r="C17" s="119" t="str">
        <f>_xlfn.CONCAT('Contexte et portée'!C21)</f>
        <v>200+</v>
      </c>
      <c r="D17" s="2"/>
    </row>
    <row r="18" spans="1:4" ht="24">
      <c r="A18" s="225"/>
      <c r="B18" s="114" t="str">
        <f>IF(DocumentLanguage="FR",'DATA - PPT'!A37,'DATA - PPT'!B37)</f>
        <v>Nbr utilisateurs de support​</v>
      </c>
      <c r="C18" s="119" t="str">
        <f>_xlfn.CONCAT('Contexte et portée'!C22)</f>
        <v/>
      </c>
      <c r="D18" s="2"/>
    </row>
    <row r="19" spans="1:4" ht="24">
      <c r="A19" s="225"/>
      <c r="B19" s="114" t="str">
        <f>IF(DocumentLanguage="FR",'DATA - PPT'!A38,'DATA - PPT'!B38)</f>
        <v>Nbr d’utilisateurs du partenaires externes​</v>
      </c>
      <c r="C19" s="119" t="str">
        <f>_xlfn.CONCAT('Contexte et portée'!E21)</f>
        <v>100+</v>
      </c>
      <c r="D19" s="2"/>
    </row>
    <row r="20" spans="1:4">
      <c r="A20" s="2"/>
      <c r="B20" s="2"/>
      <c r="C20" s="2"/>
      <c r="D20" s="2"/>
    </row>
  </sheetData>
  <mergeCells count="4">
    <mergeCell ref="A13:A15"/>
    <mergeCell ref="A17:A19"/>
    <mergeCell ref="A1:A4"/>
    <mergeCell ref="A6:A1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8DF2B-0B78-4F02-A1E5-2B7278E90AA5}">
  <sheetPr codeName="Sheet1"/>
  <dimension ref="A1:F11"/>
  <sheetViews>
    <sheetView topLeftCell="A6" workbookViewId="0">
      <selection sqref="A1:F7"/>
    </sheetView>
  </sheetViews>
  <sheetFormatPr defaultColWidth="8.7109375" defaultRowHeight="15"/>
  <cols>
    <col min="1" max="1" width="21.85546875" bestFit="1" customWidth="1"/>
    <col min="2" max="2" width="47.85546875" customWidth="1"/>
    <col min="3" max="3" width="15.85546875" bestFit="1" customWidth="1"/>
    <col min="4" max="4" width="22.28515625" bestFit="1" customWidth="1"/>
    <col min="5" max="5" width="41.85546875" customWidth="1"/>
    <col min="6" max="6" width="15.5703125" bestFit="1" customWidth="1"/>
    <col min="9" max="9" width="12.140625" bestFit="1" customWidth="1"/>
    <col min="10" max="10" width="7.7109375" bestFit="1" customWidth="1"/>
    <col min="11" max="11" width="19.7109375" bestFit="1" customWidth="1"/>
    <col min="12" max="12" width="19" bestFit="1" customWidth="1"/>
  </cols>
  <sheetData>
    <row r="1" spans="1:6" s="8" customFormat="1" ht="33">
      <c r="A1" s="204" t="str">
        <f>IF(DocumentLanguage="FR",'DATA - PPT'!A2,'DATA - PPT'!B2)</f>
        <v>Numéro du risque</v>
      </c>
      <c r="B1" s="204" t="str">
        <f>IF(DocumentLanguage="FR",'DATA - PPT'!A3,'DATA - PPT'!B3)</f>
        <v>Titre du risque</v>
      </c>
      <c r="C1" s="204" t="str">
        <f>IF(DocumentLanguage="FR",'DATA - PPT'!A4,'DATA - PPT'!B4)</f>
        <v>Risque inhérent</v>
      </c>
      <c r="D1" s="204" t="str">
        <f>IF(DocumentLanguage="FR",'DATA - PPT'!A5,'DATA - PPT'!B5)</f>
        <v>Efficacité des contrôles</v>
      </c>
      <c r="E1" s="204" t="str">
        <f>IF(DocumentLanguage="FR",'DATA - PPT'!A6,'DATA - PPT'!B6)</f>
        <v>Justificatif d'efficacité</v>
      </c>
      <c r="F1" s="204" t="str">
        <f>IF(DocumentLanguage="FR",'DATA - PPT'!A7,'DATA - PPT'!B7)</f>
        <v>Risque résiduel</v>
      </c>
    </row>
    <row r="2" spans="1:6" ht="236.25">
      <c r="A2" s="108" t="s">
        <v>37</v>
      </c>
      <c r="B2" s="109" t="str">
        <f ca="1">_xlfn.XLOOKUP(A2,tbl_Risks[Numéro du risque
Risk Numbre],tbl_Risks[Titre du Risque
Risk Title],"",0)</f>
        <v>Vol ou fuite de données confidentielles causé par du personnel interne malveillant</v>
      </c>
      <c r="C2" s="108" t="str">
        <f ca="1">_xlfn.XLOOKUP(A2,tbl_Risks[Numéro du risque
Risk Numbre],tbl_Risks[Niveau Risque Inhérent
Inherent Risk Level],"",0)</f>
        <v>4 - Très élevé</v>
      </c>
      <c r="D2" s="108" t="str">
        <f ca="1">_xlfn.XLOOKUP(A2,tbl_Risks[Numéro du risque
Risk Numbre],tbl_Risks[Efficacité globale 
Global efficiency],"",0)</f>
        <v>2 - Partiellement efficace</v>
      </c>
      <c r="E2" s="122" t="str">
        <f ca="1">_xlfn.XLOOKUP(A2,tbl_Risks[Numéro du risque
Risk Numbre],tbl_Risks[Justification
Justification],"",0)</f>
        <v>Les contrôles de protection des données (Ctrl 3 : 21%), d'inventaire des actifs (Ctrl 1 : 19%), de gestion des comptes (Ctrl 5 : 32%) et de journal d'audit (Ctrl 8 : 9%) sont non efficaces. Ces quatre contrôles sont critiques pour la détection et la prévention d'une exfiltration interne. Malgré l'efficacité du contrôle d'accès (Ctrl 6 : 88%) et de la réponse aux incidents (Ctrl 17 : 100%), l'absence de DLP, de logs d'accès aux données sensibles et de plafond d'export maintient une efficacité globale insuffisante pour réduire significativement le risque.</v>
      </c>
      <c r="F2" s="108" t="str">
        <f ca="1">_xlfn.XLOOKUP(A2,tbl_Risks[Numéro du risque
Risk Numbre],tbl_Risks[Risque résiduel
Residual risk],"",0)</f>
        <v>3 - Élevé</v>
      </c>
    </row>
    <row r="3" spans="1:6" ht="220.5">
      <c r="A3" s="108" t="s">
        <v>48</v>
      </c>
      <c r="B3" s="109" t="str">
        <f ca="1">_xlfn.XLOOKUP(A3,tbl_Risks[Numéro du risque
Risk Numbre],tbl_Risks[Titre du Risque
Risk Title],"",0)</f>
        <v>Vol ou fuite de données confidentielles causé par un cybercriminel</v>
      </c>
      <c r="C3" s="108" t="str">
        <f ca="1">_xlfn.XLOOKUP(A3,tbl_Risks[Numéro du risque
Risk Numbre],tbl_Risks[Niveau Risque Inhérent
Inherent Risk Level],"",0)</f>
        <v>4 - Très élevé</v>
      </c>
      <c r="D3" s="108" t="str">
        <f ca="1">_xlfn.XLOOKUP(A3,tbl_Risks[Numéro du risque
Risk Numbre],tbl_Risks[Efficacité globale 
Global efficiency],"",0)</f>
        <v>2 - Partiellement efficace</v>
      </c>
      <c r="E3" s="122" t="str">
        <f ca="1">_xlfn.XLOOKUP(A3,tbl_Risks[Numéro du risque
Risk Numbre],tbl_Risks[Justification
Justification],"",0)</f>
        <v>Bien que les contrôles d'accès (Ctrl 6 : 88%), de surveillance réseau (Ctrl 13 : 100%), de sécurité applicative (Ctrl 16 : 83%), de réponse aux incidents (Ctrl 17 : 100%) et de tests de pénétration (Ctrl 18 : 100%) soient efficaces, les contrôles de protection des données (Ctrl 3 : 21%), de gestion des vulnérabilités (Ctrl 7 : 32%) et de journaux d'audit (Ctrl 8 : 9%) sont non efficaces. La moyenne globale reflète une posture de défense en profondeur insuffisante face à un cybercriminel déterminé.</v>
      </c>
      <c r="F3" s="108" t="str">
        <f ca="1">_xlfn.XLOOKUP(A3,tbl_Risks[Numéro du risque
Risk Numbre],tbl_Risks[Risque résiduel
Residual risk],"",0)</f>
        <v>3 - Élevé</v>
      </c>
    </row>
    <row r="4" spans="1:6" ht="220.5">
      <c r="A4" s="108" t="s">
        <v>55</v>
      </c>
      <c r="B4" s="109" t="str">
        <f ca="1">_xlfn.XLOOKUP(A4,tbl_Risks[Numéro du risque
Risk Numbre],tbl_Risks[Titre du Risque
Risk Title],"",0)</f>
        <v>Dégradation ou indisponibilité des technologies de l’information causée par un tiers</v>
      </c>
      <c r="C4" s="108" t="str">
        <f ca="1">_xlfn.XLOOKUP(A4,tbl_Risks[Numéro du risque
Risk Numbre],tbl_Risks[Niveau Risque Inhérent
Inherent Risk Level],"",0)</f>
        <v>3 - Élevé</v>
      </c>
      <c r="D4" s="108" t="str">
        <f ca="1">_xlfn.XLOOKUP(A4,tbl_Risks[Numéro du risque
Risk Numbre],tbl_Risks[Efficacité globale 
Global efficiency],"",0)</f>
        <v>3 - Efficace</v>
      </c>
      <c r="E4" s="122" t="str">
        <f ca="1">_xlfn.XLOOKUP(A4,tbl_Risks[Numéro du risque
Risk Numbre],tbl_Risks[Justification
Justification],"",0)</f>
        <v>Les trois contrôles applicables sont pleinement efficaces : gestion des fournisseurs (Ctrl 15 : 100%), réponse aux incidents (Ctrl 17 : 100%) et récupération des données (Ctrl 11 : 100%). L'organisation dispose d'un inventaire des prestataires, de contrats avec clauses de sécurité, de processus d'évaluation des fournisseurs, et d'un processus de réponse aux incidents formalisé avec Ateko. Les sauvegardes automatisées sont en place. Ces contrôles réduisent efficacement le risque inhérent.</v>
      </c>
      <c r="F4" s="108" t="str">
        <f ca="1">_xlfn.XLOOKUP(A4,tbl_Risks[Numéro du risque
Risk Numbre],tbl_Risks[Risque résiduel
Residual risk],"",0)</f>
        <v>1 - Faible</v>
      </c>
    </row>
    <row r="5" spans="1:6" ht="204.75">
      <c r="A5" s="108" t="s">
        <v>64</v>
      </c>
      <c r="B5" s="109" t="str">
        <f ca="1">_xlfn.XLOOKUP(A5,tbl_Risks[Numéro du risque
Risk Numbre],tbl_Risks[Titre du Risque
Risk Title],"",0)</f>
        <v>Dégradation ou indisponibilité des technologies de l’information causée par une gestion interne inadéquate</v>
      </c>
      <c r="C5" s="108" t="str">
        <f ca="1">_xlfn.XLOOKUP(A5,tbl_Risks[Numéro du risque
Risk Numbre],tbl_Risks[Niveau Risque Inhérent
Inherent Risk Level],"",0)</f>
        <v>3 - Élevé</v>
      </c>
      <c r="D5" s="108" t="str">
        <f ca="1">_xlfn.XLOOKUP(A5,tbl_Risks[Numéro du risque
Risk Numbre],tbl_Risks[Efficacité globale 
Global efficiency],"",0)</f>
        <v>2 - Partiellement efficace</v>
      </c>
      <c r="E5" s="122" t="str">
        <f ca="1">_xlfn.XLOOKUP(A5,tbl_Risks[Numéro du risque
Risk Numbre],tbl_Risks[Justification
Justification],"",0)</f>
        <v>La configuration sécurisée (Ctrl 4 : 77%), la récupération des données (Ctrl 11 : 100%), la sécurité applicative (Ctrl 16 : 83%) et la réponse aux incidents (Ctrl 17 : 100%) sont efficaces. Cependant, la gestion des vulnérabilités (Ctrl 7 : 32%) et les journaux d'audit (Ctrl 8 : 9%) sont non efficaces, limitant la détection proactive des problèmes de configuration. Efficacité globale partiellement efficace — le risque résiduel est modéré.</v>
      </c>
      <c r="F5" s="108" t="str">
        <f ca="1">_xlfn.XLOOKUP(A5,tbl_Risks[Numéro du risque
Risk Numbre],tbl_Risks[Risque résiduel
Residual risk],"",0)</f>
        <v>2 - Modéré</v>
      </c>
    </row>
    <row r="6" spans="1:6" ht="189">
      <c r="A6" s="108" t="s">
        <v>71</v>
      </c>
      <c r="B6" s="109" t="str">
        <f ca="1">_xlfn.XLOOKUP(A6,tbl_Risks[Numéro du risque
Risk Numbre],tbl_Risks[Titre du Risque
Risk Title],"",0)</f>
        <v>Utilisation de données de mauvaise qualité qui ne répondent pas aux besoins de l’unité évaluable</v>
      </c>
      <c r="C6" s="108" t="str">
        <f ca="1">_xlfn.XLOOKUP(A6,tbl_Risks[Numéro du risque
Risk Numbre],tbl_Risks[Niveau Risque Inhérent
Inherent Risk Level],"",0)</f>
        <v>2 - Modéré</v>
      </c>
      <c r="D6" s="108" t="str">
        <f ca="1">_xlfn.XLOOKUP(A6,tbl_Risks[Numéro du risque
Risk Numbre],tbl_Risks[Efficacité globale 
Global efficiency],"",0)</f>
        <v>1 - Non efficace</v>
      </c>
      <c r="E6" s="122" t="str">
        <f ca="1">_xlfn.XLOOKUP(A6,tbl_Risks[Numéro du risque
Risk Numbre],tbl_Risks[Justification
Justification],"",0)</f>
        <v>Tous les contrôles liés à la qualité et à l'inventaire des données (Ctrl 1 : 19%, Ctrl 2 : 0%, Ctrl 3 : 21%, Ctrl 8 : 9%) sont non efficaces. Seule la sécurité applicative (Ctrl 16 : 83%) est efficace mais ne couvre pas directement la qualité des données. Efficacité globale non efficace. Toutefois, le niveau inhérent étant modéré (Possible × Limité), le risque résiduel demeure modéré malgré l'absence de contrôles de qualité de données.</v>
      </c>
      <c r="F6" s="108" t="str">
        <f ca="1">_xlfn.XLOOKUP(A6,tbl_Risks[Numéro du risque
Risk Numbre],tbl_Risks[Risque résiduel
Residual risk],"",0)</f>
        <v>2 - Modéré</v>
      </c>
    </row>
    <row r="7" spans="1:6" ht="204.75">
      <c r="A7" s="108" t="s">
        <v>80</v>
      </c>
      <c r="B7" s="109" t="str">
        <f ca="1">_xlfn.XLOOKUP(A7,tbl_Risks[Numéro du risque
Risk Numbre],tbl_Risks[Titre du Risque
Risk Title],"",0)</f>
        <v>Données manquantes pour la prise de décision ou l’exécution d’un processus</v>
      </c>
      <c r="C7" s="108" t="str">
        <f ca="1">_xlfn.XLOOKUP(A7,tbl_Risks[Numéro du risque
Risk Numbre],tbl_Risks[Niveau Risque Inhérent
Inherent Risk Level],"",0)</f>
        <v>2 - Modéré</v>
      </c>
      <c r="D7" s="108" t="str">
        <f ca="1">_xlfn.XLOOKUP(A7,tbl_Risks[Numéro du risque
Risk Numbre],tbl_Risks[Efficacité globale 
Global efficiency],"",0)</f>
        <v>2 - Partiellement efficace</v>
      </c>
      <c r="E7" s="122" t="str">
        <f ca="1">_xlfn.XLOOKUP(A7,tbl_Risks[Numéro du risque
Risk Numbre],tbl_Risks[Justification
Justification],"",0)</f>
        <v>Les contrôles de protection et gestion des données (Ctrl 3 : 21%) et les journaux d'audit (Ctrl 8 : 9%) sont non efficaces, limitant la détection des problèmes d'accessibilité. Cependant, la récupération des données (Ctrl 11 : 100%) et la sécurité applicative (Ctrl 16 : 83%) compensent partiellement. Efficacité globale partiellement efficace. Le niveau inhérent modéré et les contrôles de récupération en place permettent de maintenir le risque résiduel à un niveau faible.</v>
      </c>
      <c r="F7" s="108" t="str">
        <f ca="1">_xlfn.XLOOKUP(A7,tbl_Risks[Numéro du risque
Risk Numbre],tbl_Risks[Risque résiduel
Residual risk],"",0)</f>
        <v>2 - Modéré</v>
      </c>
    </row>
    <row r="8" spans="1:6" ht="15.75">
      <c r="A8" s="108" t="s">
        <v>86</v>
      </c>
      <c r="B8" s="109" t="e">
        <f ca="1">_xlfn.XLOOKUP(A8,tbl_Risks[Numéro du risque
Risk Numbre],tbl_Risks[Titre du Risque
Risk Title],"",0)</f>
        <v>#REF!</v>
      </c>
      <c r="C8" s="108" t="str">
        <f ca="1">_xlfn.XLOOKUP(A8,tbl_Risks[Numéro du risque
Risk Numbre],tbl_Risks[Niveau Risque Inhérent
Inherent Risk Level],"",0)</f>
        <v/>
      </c>
      <c r="D8" s="108" t="e">
        <f ca="1">_xlfn.XLOOKUP(A8,tbl_Risks[Numéro du risque
Risk Numbre],tbl_Risks[Efficacité globale 
Global efficiency],"",0)</f>
        <v>#VALUE!</v>
      </c>
      <c r="E8" s="122">
        <f ca="1">_xlfn.XLOOKUP(A8,tbl_Risks[Numéro du risque
Risk Numbre],tbl_Risks[Justification
Justification],"",0)</f>
        <v>0</v>
      </c>
      <c r="F8" s="108" t="e">
        <f ca="1">_xlfn.XLOOKUP(A8,tbl_Risks[Numéro du risque
Risk Numbre],tbl_Risks[Risque résiduel
Residual risk],"",0)</f>
        <v>#N/A</v>
      </c>
    </row>
    <row r="9" spans="1:6" ht="15.75">
      <c r="A9" s="108" t="s">
        <v>87</v>
      </c>
      <c r="B9" s="109" t="e">
        <f ca="1">_xlfn.XLOOKUP(A9,tbl_Risks[Numéro du risque
Risk Numbre],tbl_Risks[Titre du Risque
Risk Title],"",0)</f>
        <v>#REF!</v>
      </c>
      <c r="C9" s="108" t="str">
        <f ca="1">_xlfn.XLOOKUP(A9,tbl_Risks[Numéro du risque
Risk Numbre],tbl_Risks[Niveau Risque Inhérent
Inherent Risk Level],"",0)</f>
        <v/>
      </c>
      <c r="D9" s="108" t="e">
        <f ca="1">_xlfn.XLOOKUP(A9,tbl_Risks[Numéro du risque
Risk Numbre],tbl_Risks[Efficacité globale 
Global efficiency],"",0)</f>
        <v>#VALUE!</v>
      </c>
      <c r="E9" s="122">
        <f ca="1">_xlfn.XLOOKUP(A9,tbl_Risks[Numéro du risque
Risk Numbre],tbl_Risks[Justification
Justification],"",0)</f>
        <v>0</v>
      </c>
      <c r="F9" s="108" t="e">
        <f ca="1">_xlfn.XLOOKUP(A9,tbl_Risks[Numéro du risque
Risk Numbre],tbl_Risks[Risque résiduel
Residual risk],"",0)</f>
        <v>#N/A</v>
      </c>
    </row>
    <row r="10" spans="1:6" ht="15.75">
      <c r="A10" s="108" t="s">
        <v>88</v>
      </c>
      <c r="B10" s="109" t="e">
        <f ca="1">_xlfn.XLOOKUP(A10,tbl_Risks[Numéro du risque
Risk Numbre],tbl_Risks[Titre du Risque
Risk Title],"",0)</f>
        <v>#REF!</v>
      </c>
      <c r="C10" s="108" t="str">
        <f ca="1">_xlfn.XLOOKUP(A10,tbl_Risks[Numéro du risque
Risk Numbre],tbl_Risks[Niveau Risque Inhérent
Inherent Risk Level],"",0)</f>
        <v/>
      </c>
      <c r="D10" s="108" t="e">
        <f ca="1">_xlfn.XLOOKUP(A10,tbl_Risks[Numéro du risque
Risk Numbre],tbl_Risks[Efficacité globale 
Global efficiency],"",0)</f>
        <v>#VALUE!</v>
      </c>
      <c r="E10" s="122">
        <f ca="1">_xlfn.XLOOKUP(A10,tbl_Risks[Numéro du risque
Risk Numbre],tbl_Risks[Justification
Justification],"",0)</f>
        <v>0</v>
      </c>
      <c r="F10" s="108" t="e">
        <f ca="1">_xlfn.XLOOKUP(A10,tbl_Risks[Numéro du risque
Risk Numbre],tbl_Risks[Risque résiduel
Residual risk],"",0)</f>
        <v>#N/A</v>
      </c>
    </row>
    <row r="11" spans="1:6" ht="15.75">
      <c r="A11" s="120" t="s">
        <v>89</v>
      </c>
      <c r="B11" s="121" t="e">
        <f ca="1">_xlfn.XLOOKUP(A11,tbl_Risks[Numéro du risque
Risk Numbre],tbl_Risks[Titre du Risque
Risk Title],"",0)</f>
        <v>#REF!</v>
      </c>
      <c r="C11" s="120" t="str">
        <f ca="1">_xlfn.XLOOKUP(A11,tbl_Risks[Numéro du risque
Risk Numbre],tbl_Risks[Niveau Risque Inhérent
Inherent Risk Level],"",0)</f>
        <v/>
      </c>
      <c r="D11" s="120" t="e">
        <f ca="1">_xlfn.XLOOKUP(A11,tbl_Risks[Numéro du risque
Risk Numbre],tbl_Risks[Efficacité globale 
Global efficiency],"",0)</f>
        <v>#VALUE!</v>
      </c>
      <c r="E11" s="123">
        <f ca="1">_xlfn.XLOOKUP(A11,tbl_Risks[Numéro du risque
Risk Numbre],tbl_Risks[Justification
Justification],"",0)</f>
        <v>0</v>
      </c>
      <c r="F11" s="120" t="e">
        <f ca="1">_xlfn.XLOOKUP(A11,tbl_Risks[Numéro du risque
Risk Numbre],tbl_Risks[Risque résiduel
Residual risk],"",0)</f>
        <v>#N/A</v>
      </c>
    </row>
  </sheetData>
  <phoneticPr fontId="6"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0E942-66CA-4924-AF09-8D88952902B3}">
  <sheetPr codeName="Sheet8"/>
  <dimension ref="A1:F26"/>
  <sheetViews>
    <sheetView topLeftCell="A19" workbookViewId="0">
      <selection activeCell="A20" sqref="A20:F20"/>
    </sheetView>
  </sheetViews>
  <sheetFormatPr defaultColWidth="9.140625" defaultRowHeight="15"/>
  <cols>
    <col min="1" max="1" width="22.7109375" style="8" customWidth="1"/>
    <col min="2" max="2" width="52.42578125" style="8" customWidth="1"/>
    <col min="3" max="3" width="47.28515625" style="8" customWidth="1"/>
    <col min="4" max="4" width="26.85546875" style="8" customWidth="1"/>
    <col min="5" max="5" width="18.42578125" style="8" customWidth="1"/>
    <col min="6" max="6" width="13.5703125" style="8" bestFit="1" customWidth="1"/>
    <col min="7" max="16384" width="9.140625" style="8"/>
  </cols>
  <sheetData>
    <row r="1" spans="1:6" ht="33">
      <c r="A1" s="163" t="str">
        <f>IF(DocumentLanguage="FR",'DATA - PPT'!$A$11,'DATA - PPT'!$B$11)</f>
        <v>Numéro du risque</v>
      </c>
      <c r="B1" s="163" t="str">
        <f>IF(DocumentLanguage="FR",'DATA - PPT'!$A$12,'DATA - PPT'!$B$12)</f>
        <v>Plan d'action</v>
      </c>
      <c r="C1" s="163" t="str">
        <f>IF(DocumentLanguage="FR",'DATA - PPT'!$A$13,'DATA - PPT'!$B$13)</f>
        <v>Actions</v>
      </c>
      <c r="D1" s="163" t="str">
        <f>IF(DocumentLanguage="FR",'DATA - PPT'!$A$14,'DATA - PPT'!$B$14)</f>
        <v>Propriétaire</v>
      </c>
      <c r="E1" s="163" t="str">
        <f>IF(DocumentLanguage="FR",'DATA - PPT'!$A$15,'DATA - PPT'!$B$15)</f>
        <v>Date de début planifiée</v>
      </c>
      <c r="F1" s="163" t="str">
        <f>IF(DocumentLanguage="FR",'DATA - PPT'!$A$16,'DATA - PPT'!$B$16)</f>
        <v>Date de fin planifiée</v>
      </c>
    </row>
    <row r="2" spans="1:6" ht="189">
      <c r="A2" s="164" t="str" cm="1">
        <f t="array" ref="A2:A26">tbl_ActionPlan['# du risque
Risk '#]</f>
        <v>R1, R2</v>
      </c>
      <c r="B2" s="165" t="str" cm="1">
        <f t="array" ref="B2:B26">tbl_ActionPlan[Nom du plan d''action
Action plan name]</f>
        <v>Limiter et surveiller les exports CSV depuis BigQuery (chatbot)</v>
      </c>
      <c r="C2" s="165" t="str" cm="1">
        <f t="array" ref="C2:C26">tbl_ActionPlan[Actions
Actions]</f>
        <v>• Implémenter un plafond de lignes par export depuis le chatbot Datahub (ex. 500 lignes max par requête)
• Créer des alertes Cloud Monitoring sur tout export dépassant un seuil de volume (ex. &gt; 100 Mo) par compte conseiller
• Activer les Audit Logs DATA_READ et DATA_WRITE sur BigQuery
• Appliquer une Org Policy constraints/bigquery.disableTableExportToBuckets pour restreindre les exports vers des buckets non autorisés</v>
      </c>
      <c r="D2" s="165" t="str" cm="1">
        <f t="array" ref="D2:D26">tbl_ActionPlan[Propriétaire
Owner]</f>
        <v>iA — Équipe Cloud / RSSI</v>
      </c>
      <c r="E2" s="166" cm="1">
        <f t="array" ref="E2:E26">tbl_ActionPlan[Date de début planifiée
Planned start date]</f>
        <v>0</v>
      </c>
      <c r="F2" s="166" cm="1">
        <f t="array" ref="F2:F26">tbl_ActionPlan[Date de début planifiée
Planned start date]</f>
        <v>0</v>
      </c>
    </row>
    <row r="3" spans="1:6" ht="157.5">
      <c r="A3" s="122" t="str">
        <v>R1, R2</v>
      </c>
      <c r="B3" s="109" t="str">
        <v>Mettre en place une solution DLP sur les données sensibles</v>
      </c>
      <c r="C3" s="109" t="str">
        <v>• Déployer Cloud DLP pour masquer les données KYC (NAS, biométrie, identité) dans le BigQuery Raw Layer avant chargement
• Mettre en place des règles DLP pour détecter et bloquer les exports de données PII non masquées
• Améliorer le filtrage web pour bloquer les sites facilitant l'exfiltration (transfert de fichiers non autorisé)</v>
      </c>
      <c r="D3" s="109" t="str">
        <v>iA — Équipe Cloud / Architecte</v>
      </c>
      <c r="E3" s="122">
        <v>0</v>
      </c>
      <c r="F3" s="122">
        <v>0</v>
      </c>
    </row>
    <row r="4" spans="1:6" ht="173.25">
      <c r="A4" s="122" t="str">
        <v>R1, R2</v>
      </c>
      <c r="B4" s="109" t="str">
        <v>Activer et centraliser les journaux d'audit GCP</v>
      </c>
      <c r="C4" s="109" t="str">
        <v>• Activer Cloud Audit Logs (Admin, DATA_READ, DATA_WRITE) sur BigQuery, Firestore, Cloud Run et Cloud SQL
• Configurer la rétention des logs à minimum 365 jours dans Cloud Logging (_Default bucket)
• Centraliser les logs dans Cloud Monitoring et configurer des alertes sur les comportements anormaux
• Mettre en place un processus de revue mensuelle des journaux d'audit</v>
      </c>
      <c r="D4" s="109" t="str">
        <v>iA — Équipe Cloud / RSSI</v>
      </c>
      <c r="E4" s="122">
        <v>0</v>
      </c>
      <c r="F4" s="122">
        <v>0</v>
      </c>
    </row>
    <row r="5" spans="1:6" ht="157.5">
      <c r="A5" s="122" t="str">
        <v>R1, R2</v>
      </c>
      <c r="B5" s="109" t="str">
        <v>Corriger les ingress Cloud Run — passer tous les microservices en 'internal'</v>
      </c>
      <c r="C5" s="109" t="str">
        <v>• Configurer ingress=internal sur les 8 microservices sharedsvc : WPM, IPS, Performance, Households, KYC, Notifications, Delivery Pref, Advisor Data
• Configurer ingress=internal-and-cloud-load-balancing sur le BFF
• Valider avec le script batch de vérification (onglet Vérifications AX360)
• Documenter les exceptions éventuelles avec justification</v>
      </c>
      <c r="D5" s="109" t="str">
        <v>Ateko — Pierre Fortin Carrier</v>
      </c>
      <c r="E5" s="122">
        <v>0</v>
      </c>
      <c r="F5" s="122">
        <v>0</v>
      </c>
    </row>
    <row r="6" spans="1:6" ht="157.5">
      <c r="A6" s="122" t="str">
        <v>R1, R2</v>
      </c>
      <c r="B6" s="109" t="str">
        <v>Sécuriser les règles Firestore — mode deny-all par défaut</v>
      </c>
      <c r="C6" s="109" t="str">
        <v>• Auditer les règles de sécurité Firestore actuelles (Console Firebase → Firestore → Règles)
• Remplacer toute règle 'allow read, write: if true' par des règles explicites avec vérification auth.uid
• Implémenter le principe deny-all par défaut avec accès granulaires par collection
• Activer les Audit Logs Firestore (DATA_READ et DATA_WRITE)</v>
      </c>
      <c r="D6" s="109" t="str">
        <v>iA — Équipe Dev / Ateko</v>
      </c>
      <c r="E6" s="122">
        <v>0</v>
      </c>
      <c r="F6" s="122">
        <v>0</v>
      </c>
    </row>
    <row r="7" spans="1:6" ht="189">
      <c r="A7" s="122" t="str">
        <v>R1, R2</v>
      </c>
      <c r="B7" s="109" t="str">
        <v>Mettre en place la gestion des comptes et du moindre privilège</v>
      </c>
      <c r="C7" s="109" t="str">
        <v>• Établir un inventaire complet des comptes GCP (Service Accounts, comptes humains)
• Supprimer les rôles Owner et Editor en production sur les 4 projets AX360
• Désactiver les comptes dormants et révoquer les accès Ateko non justifiés
• Mettre en place un processus Just-In-Time pour les accès privilégiés en production
• Éliminer toutes les clés SA JSON (USER_MANAGED) — migrer vers Workload Identity</v>
      </c>
      <c r="D7" s="109" t="str">
        <v>iA — RSSI / Équipe Cloud</v>
      </c>
      <c r="E7" s="122">
        <v>0</v>
      </c>
      <c r="F7" s="122">
        <v>0</v>
      </c>
    </row>
    <row r="8" spans="1:6" ht="173.25">
      <c r="A8" s="122" t="str">
        <v>R1, R2</v>
      </c>
      <c r="B8" s="109" t="str">
        <v>Durcir les images Docker avec les CIS Benchmarks</v>
      </c>
      <c r="C8" s="109" t="str">
        <v>• Durcir les images Docker des microservices Cloud Run en appliquant les CIS Benchmarks
• Activer le scan de vulnérabilités automatique dans Artifact Registry
• Configurer Binary Authorization pour n'autoriser que les images signées et approuvées
• Intégrer un scan SAST/DAST dans le pipeline CI/CD avec gate bloquant sur CVSS &gt; 7</v>
      </c>
      <c r="D8" s="109" t="str">
        <v>Ateko — Pierre Fortin Carrier</v>
      </c>
      <c r="E8" s="122">
        <v>0</v>
      </c>
      <c r="F8" s="122">
        <v>0</v>
      </c>
    </row>
    <row r="9" spans="1:6" ht="189">
      <c r="A9" s="122" t="str">
        <v>R2</v>
      </c>
      <c r="B9" s="109" t="str">
        <v>Mettre en place la gestion des vulnérabilités</v>
      </c>
      <c r="C9" s="109" t="str">
        <v>• Établir un processus formel de gestion des vulnérabilités avec SLA (critique &lt; 72h, élevé &lt; 30 jours)
• Activer les scans automatiques de vulnérabilités sur tous les services Cloud Run et Cloud SQL
• Mettre en place la gestion automatisée des correctifs pour les applications et les OS
• Documenter et suivre les vulnérabilités identifiées dans un registre avec responsable et date de remédiation</v>
      </c>
      <c r="D9" s="109" t="str">
        <v>Ateko — Pierre Fortin Carrier</v>
      </c>
      <c r="E9" s="122">
        <v>0</v>
      </c>
      <c r="F9" s="122">
        <v>0</v>
      </c>
    </row>
    <row r="10" spans="1:6" ht="173.25">
      <c r="A10" s="122" t="str">
        <v>R2</v>
      </c>
      <c r="B10" s="109" t="str">
        <v>Sécuriser les credentials des intégrations externes dans Secret Manager</v>
      </c>
      <c r="C10" s="109" t="str">
        <v>• Migrer tous les credentials (OKTA, Croesus, Persona, Document API, NBIN, COB) vers Secret Manager
• Éliminer toutes les variables d'environnement avec valeurs en clair dans les Cloud Run
• Configurer la rotation automatique des secrets (&lt; 90 jours)
• Mettre en place des règles Egress firewall vers les IPs connues des partenaires uniquement</v>
      </c>
      <c r="D10" s="109" t="str">
        <v>iA — Équipe Dev / Ateko</v>
      </c>
      <c r="E10" s="122">
        <v>0</v>
      </c>
      <c r="F10" s="122">
        <v>0</v>
      </c>
    </row>
    <row r="11" spans="1:6" ht="189">
      <c r="A11" s="122" t="str">
        <v>R3</v>
      </c>
      <c r="B11" s="109" t="str">
        <v>Contractualiser les SLA de résolution et les obligations RCA avec Ateko</v>
      </c>
      <c r="C11" s="109" t="str">
        <v>• Définir et contractualiser les SLA de résolution par priorité (P1 &lt; 4h, P2 &lt; 8h, P3 &lt; 48h, P4 &lt; 5 jours ouvrables)
• Exiger un rapport RCA sous 5 jours ouvrables pour tout incident P1 et 10 jours pour P2
• Mettre en place un rapport mensuel de performance MSC Ateko avec les métriques de disponibilité
• Documenter le numéro de téléphone d'escalade MSC Ateko 24h/7j/365j dans les procédures</v>
      </c>
      <c r="D11" s="109" t="str">
        <v>iA — Direction / Juridique</v>
      </c>
      <c r="E11" s="122">
        <v>0</v>
      </c>
      <c r="F11" s="122">
        <v>0</v>
      </c>
    </row>
    <row r="12" spans="1:6" ht="157.5">
      <c r="A12" s="122" t="str">
        <v>R3</v>
      </c>
      <c r="B12" s="109" t="str">
        <v>Documenter et tester l'exit strategy Ateko (OSFI B-10 §6)</v>
      </c>
      <c r="C12" s="109" t="str">
        <v>• Documenter le processus complet de transition si Ateko est remplacé (inventaire des configurations, accès, runbooks)
• Valider qu'Ateko dispose d'une documentation à jour de l'infrastructure gérée
• Tester le scénario de reprise en main de l'infrastructure par une équipe alternative
• Intégrer l'exit strategy dans le plan de continuité des activités</v>
      </c>
      <c r="D12" s="109" t="str">
        <v>iA — Direction / RSSI</v>
      </c>
      <c r="E12" s="122">
        <v>0</v>
      </c>
      <c r="F12" s="122">
        <v>0</v>
      </c>
    </row>
    <row r="13" spans="1:6" ht="189">
      <c r="A13" s="122" t="str">
        <v>R4</v>
      </c>
      <c r="B13" s="109" t="str">
        <v>Mettre en place la gestion des journaux d'audit pour la détection proactive</v>
      </c>
      <c r="C13" s="109" t="str">
        <v>• Compléter l'activation des Audit Logs sur tous les services (Cloud Run, Cloud SQL, Firestore, BigQuery)
• Configurer des alertes sur les événements anormaux : erreurs de configuration, changements IAM non planifiés
• Mettre en place un processus de revue hebdomadaire des logs opérationnels par l'équipe Ateko
• Intégrer Security Command Center (SCC) pour la détection automatique des mauvaises configurations</v>
      </c>
      <c r="D13" s="109" t="str">
        <v>Ateko — Pierre Fortin Carrier</v>
      </c>
      <c r="E13" s="122">
        <v>0</v>
      </c>
      <c r="F13" s="122">
        <v>0</v>
      </c>
    </row>
    <row r="14" spans="1:6" ht="157.5">
      <c r="A14" s="122" t="str">
        <v>R4</v>
      </c>
      <c r="B14" s="109" t="str">
        <v>Migrer le Reverse Proxy Compute Engine vers Cloud Run</v>
      </c>
      <c r="C14" s="109" t="str">
        <v>• Documenter le rôle exact et les dépendances du Reverse Proxy Compute Engine (composant 'Old')
• Planifier et exécuter la migration du service Households vers une architecture Cloud Run native
• En attendant la migration : activer OS Login, désactiver le port série, restreindre le SA de la VM
• Supprimer l'IP externe de la VM si présente</v>
      </c>
      <c r="D14" s="109" t="str">
        <v>Ateko — Pierre Fortin Carrier</v>
      </c>
      <c r="E14" s="122">
        <v>0</v>
      </c>
      <c r="F14" s="122">
        <v>0</v>
      </c>
    </row>
    <row r="15" spans="1:6" ht="157.5">
      <c r="A15" s="122" t="str">
        <v>R5</v>
      </c>
      <c r="B15" s="109" t="str">
        <v>Établir un inventaire et une classification des données AX360</v>
      </c>
      <c r="C15" s="109" t="str">
        <v>• Établir un inventaire détaillé de toutes les données traitées par AX360 (BigQuery, Cloud SQL, Firestore)
• Classifier les données selon 4 niveaux (Public, Interne, Confidentiel, Très confidentiel)
• Documenter les flux de données (Data Flow Diagram) entre les composants AX360
• Identifier et documenter les propriétaires de données pour chaque dataset</v>
      </c>
      <c r="D15" s="109" t="str">
        <v>iA — Équipe Data / Architecte</v>
      </c>
      <c r="E15" s="122">
        <v>0</v>
      </c>
      <c r="F15" s="122">
        <v>0</v>
      </c>
    </row>
    <row r="16" spans="1:6" ht="189">
      <c r="A16" s="122" t="str">
        <v>R5</v>
      </c>
      <c r="B16" s="109" t="str">
        <v>Mettre en place des contrôles de qualité des données dans le pipeline</v>
      </c>
      <c r="C16" s="109" t="str">
        <v>• Implémenter des règles de validation de qualité des données dans Datastream et les pipelines BigQuery
• Mettre en place des alertes sur les anomalies de qualité (données nulles, hors plage, doublons)
• Définir des métriques de qualité des données (complétude, exactitude, fraîcheur) et les monitorer
• Créer un processus d'anonymisation des données pour les environnements non-prod</v>
      </c>
      <c r="D16" s="109" t="str">
        <v>iA — Équipe Data / Ateko</v>
      </c>
      <c r="E16" s="122">
        <v>0</v>
      </c>
      <c r="F16" s="122">
        <v>0</v>
      </c>
    </row>
    <row r="17" spans="1:6" ht="173.25">
      <c r="A17" s="122" t="str">
        <v>R5, R6</v>
      </c>
      <c r="B17" s="109" t="str">
        <v>Journaliser l'accès aux données et activer la gestion des journaux</v>
      </c>
      <c r="C17" s="109" t="str">
        <v>• Mettre en place la journalisation d'accès aux données dans les bases Cloud SQL (pgAudit / audit logging MySQL)
• Activer les journaux d'accès aux données dans les services Cloud Run (requêtes et réponses)
• Centraliser les journaux dans Cloud Logging avec rétention ≥ 365 jours
• Mettre en place des alertes sur les accès anormaux aux données (volumes inhabituels, heures atypiques)</v>
      </c>
      <c r="D17" s="109" t="str">
        <v>iA — Équipe Cloud / Data</v>
      </c>
      <c r="E17" s="122">
        <v>0</v>
      </c>
      <c r="F17" s="122">
        <v>0</v>
      </c>
    </row>
    <row r="18" spans="1:6" ht="173.25">
      <c r="A18" s="122" t="str">
        <v>R6</v>
      </c>
      <c r="B18" s="109" t="str">
        <v>Améliorer la résilience du pipeline de données et la gestion de l'accessibilité</v>
      </c>
      <c r="C18" s="109" t="str">
        <v>• Documenter les dépendances critiques du pipeline de données (Datastream, Pub/Sub KYC, GraphQL)
• Mettre en place des mécanismes de dead letter policy sur tous les topics Pub/Sub
• Configurer des alertes sur les délais de traitement des données (lag Pub/Sub, Datastream)
• Tester les scénarios de coupure des intégrations externes et valider les mécanismes de fallback</v>
      </c>
      <c r="D18" s="109" t="str">
        <v>iA — Équipe Cloud / Data</v>
      </c>
      <c r="E18" s="122">
        <v>0</v>
      </c>
      <c r="F18" s="122">
        <v>0</v>
      </c>
    </row>
    <row r="19" spans="1:6" ht="157.5">
      <c r="A19" s="122" t="str">
        <v>R1, R2, R3, R4</v>
      </c>
      <c r="B19" s="109" t="str">
        <v>Évaluation formelle du risque tiers Ateko (OSFI B-10 §6)</v>
      </c>
      <c r="C19" s="109" t="str">
        <v>• Réaliser une évaluation formelle du risque tiers Ateko selon les exigences OSFI B-10 §6
• Réviser le contrat Ateko pour inclure : SLA de résolution, droits d'audit, obligations sécurité, clauses PIPEDA/Loi 25
• Mettre en place une revue trimestrielle des accès GCP Ateko par le RSSI iA
• Documenter la cartographie complète des accès Ateko sur les 4 projets GCP</v>
      </c>
      <c r="D19" s="109" t="str">
        <v>iA — RSSI / Direction</v>
      </c>
      <c r="E19" s="122">
        <v>0</v>
      </c>
      <c r="F19" s="122">
        <v>0</v>
      </c>
    </row>
    <row r="20" spans="1:6" ht="157.5">
      <c r="A20" s="122" t="str">
        <v>R1, R2, R3, R4, R5, R6</v>
      </c>
      <c r="B20" s="109" t="str">
        <v>Mettre en place un processus de gestion des incidents de sécurité et notification réglementaire</v>
      </c>
      <c r="C20" s="109" t="str">
        <v>• Documenter le processus de notification réglementaire (OSFI B-10, PIPEDA, Loi 25) pour les incidents de sécurité
• Définir les critères de classification d'un incident de sécurité vs opérationnel
• Tester le processus de notification (exercice annuel)
• S'assurer que le délai de notification OPC (Loi 25) de 72h est intégré dans les procédures Ateko</v>
      </c>
      <c r="D20" s="109" t="str">
        <v>iA — RSSI</v>
      </c>
      <c r="E20" s="122">
        <v>0</v>
      </c>
      <c r="F20" s="122">
        <v>0</v>
      </c>
    </row>
    <row r="21" spans="1:6" ht="15.75">
      <c r="A21" s="122">
        <v>0</v>
      </c>
      <c r="B21" s="109">
        <v>0</v>
      </c>
      <c r="C21" s="109">
        <v>0</v>
      </c>
      <c r="D21" s="109">
        <v>0</v>
      </c>
      <c r="E21" s="122">
        <v>0</v>
      </c>
      <c r="F21" s="122">
        <v>0</v>
      </c>
    </row>
    <row r="22" spans="1:6" ht="15.75">
      <c r="A22" s="122">
        <v>0</v>
      </c>
      <c r="B22" s="109">
        <v>0</v>
      </c>
      <c r="C22" s="109">
        <v>0</v>
      </c>
      <c r="D22" s="109">
        <v>0</v>
      </c>
      <c r="E22" s="122">
        <v>0</v>
      </c>
      <c r="F22" s="122">
        <v>0</v>
      </c>
    </row>
    <row r="23" spans="1:6" ht="15.75">
      <c r="A23" s="122">
        <v>0</v>
      </c>
      <c r="B23" s="109">
        <v>0</v>
      </c>
      <c r="C23" s="109">
        <v>0</v>
      </c>
      <c r="D23" s="109">
        <v>0</v>
      </c>
      <c r="E23" s="122">
        <v>0</v>
      </c>
      <c r="F23" s="122">
        <v>0</v>
      </c>
    </row>
    <row r="24" spans="1:6" ht="15.75">
      <c r="A24" s="122">
        <v>0</v>
      </c>
      <c r="B24" s="109">
        <v>0</v>
      </c>
      <c r="C24" s="109">
        <v>0</v>
      </c>
      <c r="D24" s="109">
        <v>0</v>
      </c>
      <c r="E24" s="122">
        <v>0</v>
      </c>
      <c r="F24" s="122">
        <v>0</v>
      </c>
    </row>
    <row r="25" spans="1:6" ht="15.75">
      <c r="A25" s="122">
        <v>0</v>
      </c>
      <c r="B25" s="109">
        <v>0</v>
      </c>
      <c r="C25" s="109">
        <v>0</v>
      </c>
      <c r="D25" s="109">
        <v>0</v>
      </c>
      <c r="E25" s="122">
        <v>0</v>
      </c>
      <c r="F25" s="122">
        <v>0</v>
      </c>
    </row>
    <row r="26" spans="1:6" ht="15.75">
      <c r="A26" s="167">
        <v>0</v>
      </c>
      <c r="B26" s="121">
        <v>0</v>
      </c>
      <c r="C26" s="121">
        <v>0</v>
      </c>
      <c r="D26" s="121">
        <v>0</v>
      </c>
      <c r="E26" s="167">
        <v>0</v>
      </c>
      <c r="F26" s="1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5AD66-B3B8-421A-86B8-B72291164654}">
  <sheetPr codeName="Sheet18"/>
  <dimension ref="A1:J29"/>
  <sheetViews>
    <sheetView workbookViewId="0">
      <selection activeCell="I10" sqref="I10:J15"/>
    </sheetView>
  </sheetViews>
  <sheetFormatPr defaultColWidth="8.7109375" defaultRowHeight="15"/>
  <cols>
    <col min="1" max="1" width="12.28515625" bestFit="1" customWidth="1"/>
    <col min="3" max="3" width="18.140625" bestFit="1" customWidth="1"/>
    <col min="4" max="4" width="63" customWidth="1"/>
    <col min="6" max="6" width="26" bestFit="1" customWidth="1"/>
    <col min="7" max="7" width="21" customWidth="1"/>
    <col min="9" max="9" width="25.5703125" customWidth="1"/>
    <col min="10" max="10" width="14.85546875" customWidth="1"/>
  </cols>
  <sheetData>
    <row r="1" spans="1:10">
      <c r="A1" t="s">
        <v>294</v>
      </c>
    </row>
    <row r="2" spans="1:10" ht="31.5">
      <c r="A2" t="s">
        <v>80</v>
      </c>
      <c r="C2" s="124" t="str">
        <f>IF(DocumentLanguage="FR",'DATA - PPT'!$A$42,'DATA - PPT'!$B$42)</f>
        <v>Titre du risque</v>
      </c>
      <c r="D2" s="125" t="str">
        <f ca="1">_xlfn.XLOOKUP(A2,tbl_Risks[Numéro du risque
Risk Numbre],tbl_Risks[Titre du Risque
Risk Title])</f>
        <v>Données manquantes pour la prise de décision ou l’exécution d’un processus</v>
      </c>
    </row>
    <row r="3" spans="1:10" ht="16.5">
      <c r="C3" s="154"/>
      <c r="D3" s="155"/>
    </row>
    <row r="4" spans="1:10" ht="16.5">
      <c r="F4" s="228" t="str">
        <f>IF(DocumentLanguage="FR",'DATA - PPT'!$A$44,'DATA - PPT'!$B$44)</f>
        <v>Évaluation du risque</v>
      </c>
      <c r="G4" s="228"/>
    </row>
    <row r="5" spans="1:10" ht="15.75">
      <c r="F5" s="129" t="str">
        <f>IF(DocumentLanguage="FR",'DATA - PPT'!$A$45,'DATA - PPT'!$B$45)</f>
        <v>Risque inhérent</v>
      </c>
      <c r="G5" s="126" t="str">
        <f ca="1">_xlfn.XLOOKUP(A2,tbl_Risks[Numéro du risque
Risk Numbre],tbl_Risks[Niveau Risque Inhérent
Inherent Risk Level])</f>
        <v>2 - Modéré</v>
      </c>
    </row>
    <row r="6" spans="1:10" ht="15.75">
      <c r="F6" s="130" t="str">
        <f>IF(DocumentLanguage="FR",'DATA - PPT'!$A$46,'DATA - PPT'!$B$46)</f>
        <v>Efficacité des contrôles</v>
      </c>
      <c r="G6" s="127" t="str">
        <f ca="1">_xlfn.XLOOKUP(A2,tbl_Risks[Numéro du risque
Risk Numbre],tbl_Risks[Efficacité globale 
Global efficiency])</f>
        <v>2 - Partiellement efficace</v>
      </c>
    </row>
    <row r="7" spans="1:10" ht="15.75">
      <c r="F7" s="131" t="str">
        <f>IF(DocumentLanguage="FR",'DATA - PPT'!$A$48,'DATA - PPT'!$B$48)</f>
        <v>Risque résiduel</v>
      </c>
      <c r="G7" s="128" t="str">
        <f ca="1">_xlfn.XLOOKUP(A2,tbl_Risks[Numéro du risque
Risk Numbre],tbl_Risks[Risque résiduel
Residual risk])</f>
        <v>2 - Modéré</v>
      </c>
    </row>
    <row r="10" spans="1:10" ht="16.5">
      <c r="I10" s="228" t="str">
        <f>IF(DocumentLanguage="FR",'DATA - PPT'!$A$57,'DATA - PPT'!$B$57)</f>
        <v>Évaluation des contrôles</v>
      </c>
      <c r="J10" s="228"/>
    </row>
    <row r="11" spans="1:10" ht="15.75">
      <c r="I11" s="132" t="str">
        <f>IF(DocumentLanguage="FR",'DATA - PPT'!$A$58,'DATA - PPT'!$B$58)</f>
        <v>Nom du contrôle</v>
      </c>
      <c r="J11" s="133" t="str">
        <f>IF(DocumentLanguage="FR",'DATA - PPT'!$A$59,'DATA - PPT'!$B$59)</f>
        <v>Efficacité</v>
      </c>
    </row>
    <row r="12" spans="1:10" ht="30">
      <c r="I12" s="134" t="str" cm="1">
        <f t="array" aca="1" ref="I12:I15" ca="1">_xlfn.LET(_xlpm.controls, _xlfn.TEXTSPLIT(_xlfn.XLOOKUP(A2,tbl_Risks[Numéro du risque
Risk Numbre], tbl_Risks[Controles applicables
Applicable controls]),,CHAR(10)),
RIGHT(_xlpm.controls, LEN(_xlpm.controls)-2))</f>
        <v>Protection des données</v>
      </c>
      <c r="J12" s="168" t="str">
        <f ca="1">_xlfn.XLOOKUP(I12,tbl_Controls[Controle
Control],tbl_Controls[Efficacité dans l''analyse de risque
Efficiency in the risk assessment])</f>
        <v>1 - Non efficace</v>
      </c>
    </row>
    <row r="13" spans="1:10" ht="30">
      <c r="I13" s="134" t="str">
        <f ca="1"/>
        <v>Gestion du journal d'audit</v>
      </c>
      <c r="J13" s="168" t="str">
        <f ca="1">_xlfn.XLOOKUP(I13,tbl_Controls[Controle
Control],tbl_Controls[Efficacité dans l''analyse de risque
Efficiency in the risk assessment])</f>
        <v>1 - Non efficace</v>
      </c>
    </row>
    <row r="14" spans="1:10">
      <c r="I14" s="134" t="str">
        <f ca="1"/>
        <v>Récupération des données</v>
      </c>
      <c r="J14" s="168" t="str">
        <f ca="1">_xlfn.XLOOKUP(I14,tbl_Controls[Controle
Control],tbl_Controls[Efficacité dans l''analyse de risque
Efficiency in the risk assessment])</f>
        <v>2 - Partiellement efficace</v>
      </c>
    </row>
    <row r="15" spans="1:10" ht="45">
      <c r="I15" s="134" t="str">
        <f ca="1"/>
        <v>Sécurité des logiciels et Applications</v>
      </c>
      <c r="J15" s="168" t="str">
        <f ca="1">_xlfn.XLOOKUP(I15,tbl_Controls[Controle
Control],tbl_Controls[Efficacité dans l''analyse de risque
Efficiency in the risk assessment])</f>
        <v>3 - Efficace</v>
      </c>
    </row>
    <row r="16" spans="1:10">
      <c r="I16" s="135"/>
      <c r="J16" s="168" t="e">
        <f ca="1">_xlfn.XLOOKUP(I16,tbl_Controls[Controle
Control],tbl_Controls[Efficacité dans l''analyse de risque
Efficiency in the risk assessment])</f>
        <v>#N/A</v>
      </c>
    </row>
    <row r="17" spans="9:10">
      <c r="I17" s="135"/>
      <c r="J17" s="168" t="e">
        <f ca="1">_xlfn.XLOOKUP(I17,tbl_Controls[Controle
Control],tbl_Controls[Efficacité dans l''analyse de risque
Efficiency in the risk assessment])</f>
        <v>#N/A</v>
      </c>
    </row>
    <row r="18" spans="9:10">
      <c r="I18" s="135"/>
      <c r="J18" s="168" t="e">
        <f ca="1">_xlfn.XLOOKUP(I18,tbl_Controls[Controle
Control],tbl_Controls[Efficacité dans l''analyse de risque
Efficiency in the risk assessment])</f>
        <v>#N/A</v>
      </c>
    </row>
    <row r="19" spans="9:10">
      <c r="I19" s="135"/>
      <c r="J19" s="168" t="e">
        <f ca="1">_xlfn.XLOOKUP(I19,tbl_Controls[Controle
Control],tbl_Controls[Efficacité dans l''analyse de risque
Efficiency in the risk assessment])</f>
        <v>#N/A</v>
      </c>
    </row>
    <row r="20" spans="9:10">
      <c r="I20" s="135"/>
      <c r="J20" s="168" t="e">
        <f ca="1">_xlfn.XLOOKUP(I20,tbl_Controls[Controle
Control],tbl_Controls[Efficacité dans l''analyse de risque
Efficiency in the risk assessment])</f>
        <v>#N/A</v>
      </c>
    </row>
    <row r="21" spans="9:10">
      <c r="I21" s="135"/>
      <c r="J21" s="168" t="e">
        <f ca="1">_xlfn.XLOOKUP(I21,tbl_Controls[Controle
Control],tbl_Controls[Efficacité dans l''analyse de risque
Efficiency in the risk assessment])</f>
        <v>#N/A</v>
      </c>
    </row>
    <row r="22" spans="9:10">
      <c r="I22" s="135"/>
      <c r="J22" s="168" t="e">
        <f ca="1">_xlfn.XLOOKUP(I22,tbl_Controls[Controle
Control],tbl_Controls[Efficacité dans l''analyse de risque
Efficiency in the risk assessment])</f>
        <v>#N/A</v>
      </c>
    </row>
    <row r="23" spans="9:10">
      <c r="I23" s="135"/>
      <c r="J23" s="168" t="e">
        <f ca="1">_xlfn.XLOOKUP(I23,tbl_Controls[Controle
Control],tbl_Controls[Efficacité dans l''analyse de risque
Efficiency in the risk assessment])</f>
        <v>#N/A</v>
      </c>
    </row>
    <row r="24" spans="9:10">
      <c r="I24" s="135"/>
      <c r="J24" s="168" t="e">
        <f ca="1">_xlfn.XLOOKUP(I24,tbl_Controls[Controle
Control],tbl_Controls[Efficacité dans l''analyse de risque
Efficiency in the risk assessment])</f>
        <v>#N/A</v>
      </c>
    </row>
    <row r="25" spans="9:10">
      <c r="I25" s="135"/>
      <c r="J25" s="168" t="e">
        <f ca="1">_xlfn.XLOOKUP(I25,tbl_Controls[Controle
Control],tbl_Controls[Efficacité dans l''analyse de risque
Efficiency in the risk assessment])</f>
        <v>#N/A</v>
      </c>
    </row>
    <row r="26" spans="9:10">
      <c r="I26" s="135"/>
      <c r="J26" s="168" t="e">
        <f ca="1">_xlfn.XLOOKUP(I26,tbl_Controls[Controle
Control],tbl_Controls[Efficacité dans l''analyse de risque
Efficiency in the risk assessment])</f>
        <v>#N/A</v>
      </c>
    </row>
    <row r="27" spans="9:10">
      <c r="I27" s="135"/>
      <c r="J27" s="168" t="e">
        <f ca="1">_xlfn.XLOOKUP(I27,tbl_Controls[Controle
Control],tbl_Controls[Efficacité dans l''analyse de risque
Efficiency in the risk assessment])</f>
        <v>#N/A</v>
      </c>
    </row>
    <row r="28" spans="9:10">
      <c r="I28" s="135"/>
      <c r="J28" s="168" t="e">
        <f ca="1">_xlfn.XLOOKUP(I28,tbl_Controls[Controle
Control],tbl_Controls[Efficacité dans l''analyse de risque
Efficiency in the risk assessment])</f>
        <v>#N/A</v>
      </c>
    </row>
    <row r="29" spans="9:10">
      <c r="I29" s="136"/>
      <c r="J29" s="169" t="e">
        <f ca="1">_xlfn.XLOOKUP(I29,tbl_Controls[Controle
Control],tbl_Controls[Efficacité dans l''analyse de risque
Efficiency in the risk assessment])</f>
        <v>#N/A</v>
      </c>
    </row>
  </sheetData>
  <mergeCells count="2">
    <mergeCell ref="F4:G4"/>
    <mergeCell ref="I10:J10"/>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1513A-1A1C-42A1-9B09-413032B64050}">
  <sheetPr codeName="Sheet20"/>
  <dimension ref="A1:C28"/>
  <sheetViews>
    <sheetView topLeftCell="A4" workbookViewId="0">
      <selection sqref="A1:C14"/>
    </sheetView>
  </sheetViews>
  <sheetFormatPr defaultColWidth="8.7109375" defaultRowHeight="15"/>
  <cols>
    <col min="1" max="1" width="63" customWidth="1"/>
    <col min="2" max="2" width="23.42578125" customWidth="1"/>
    <col min="3" max="3" width="62.140625" customWidth="1"/>
  </cols>
  <sheetData>
    <row r="1" spans="1:3" ht="19.5">
      <c r="A1" s="137" t="str">
        <f>IF(DocumentLanguage="FR",'DATA - PPT'!$A$2,'DATA - PPT'!$B$2)</f>
        <v>Numéro du risque</v>
      </c>
      <c r="B1" s="162" t="s">
        <v>80</v>
      </c>
      <c r="C1" s="161"/>
    </row>
    <row r="2" spans="1:3" ht="34.5" customHeight="1">
      <c r="A2" s="138" t="str">
        <f ca="1">IF(DocumentLanguage="FR",'DATA - PPT'!$A$3,'DATA - PPT'!$B$3)</f>
        <v>Titre du risque</v>
      </c>
      <c r="B2" s="229" t="str">
        <f ca="1">_xlfn.XLOOKUP($B$1,tbl_Risks[Numéro du risque
Risk Numbre],tbl_Risks[Titre du Risque
Risk Title])</f>
        <v>Données manquantes pour la prise de décision ou l’exécution d’un processus</v>
      </c>
      <c r="C2" s="229"/>
    </row>
    <row r="3" spans="1:3" ht="131.25" customHeight="1">
      <c r="A3" s="139" t="str">
        <f ca="1">IF(DocumentLanguage="FR",'DATA - PPT'!$A$62,'DATA - PPT'!$B$62)</f>
        <v>Scénario de risque</v>
      </c>
      <c r="B3" s="230" t="str">
        <f ca="1">_xlfn.XLOOKUP($B$1,tbl_Risks[Numéro du risque
Risk Numbre],tbl_Risks[Scénario de Risque
Risk Scenario])</f>
        <v>Cause :  En raison de la conception inadéquate ou de l’exécution défaillante d’un processus,
Risque :  il existe un risque que les données requises ne soient pas disponibles dans les temps requis, 
Impact : ce qui entraînerait des délais, des coûts additionnels ou affecterait négativement une prise de décision.</v>
      </c>
      <c r="C3" s="230"/>
    </row>
    <row r="4" spans="1:3" ht="38.25" customHeight="1">
      <c r="A4" s="142" t="str">
        <f ca="1">IF(DocumentLanguage="FR",'DATA - PPT'!$A$66,'DATA - PPT'!$B$66)</f>
        <v>Causes</v>
      </c>
      <c r="B4" s="156" t="str">
        <f ca="1">IF(DocumentLanguage="FR",'DATA - PPT'!$A$67,'DATA - PPT'!$B$67)</f>
        <v>Risque</v>
      </c>
      <c r="C4" s="157" t="str">
        <f ca="1">IF(DocumentLanguage="FR",'DATA - PPT'!$A$68,'DATA - PPT'!$B$68)</f>
        <v>Impacts</v>
      </c>
    </row>
    <row r="5" spans="1:3" ht="90.75" customHeight="1">
      <c r="A5" s="158" t="str">
        <f ca="1">_xlfn.XLOOKUP($B$1,tbl_Risks[Numéro du risque
Risk Numbre],tbl_Risks[Causes
Causes])</f>
        <v>- Gestion inadéquate des talents
- Conception inadéquate
- Exécution défaillante
- Architecture inadéquate
- Documentation inadéquate</v>
      </c>
      <c r="B5" s="160" t="str">
        <f ca="1">_xlfn.XLOOKUP($B$1,tbl_Risks[Numéro du risque
Risk Numbre],tbl_Risks[Risque
Risk])</f>
        <v>N4.03 Manque d'accessibilité aux données</v>
      </c>
      <c r="C5" s="159" t="str">
        <f ca="1">_xlfn.XLOOKUP($B$1,tbl_Risks[Numéro du risque
Risk Numbre],tbl_Risks[Impacts
Impacts])</f>
        <v>- Perte monétaire ($)
- Employés</v>
      </c>
    </row>
    <row r="6" spans="1:3" ht="48" customHeight="1">
      <c r="A6" s="139" t="str">
        <f ca="1">IF(DocumentLanguage="FR",'DATA - PPT'!$A$63,'DATA - PPT'!$B$63)</f>
        <v>Probabilité</v>
      </c>
      <c r="B6" s="140" t="str">
        <f ca="1">_xlfn.XLOOKUP($B$1,tbl_Risks[Numéro du risque
Risk Numbre],tbl_Risks[Probabilité Inhérent
Inherent Probability])</f>
        <v>Possible</v>
      </c>
      <c r="C6" s="141" t="str">
        <f ca="1">_xlfn.XLOOKUP($B$1,tbl_Risks[Numéro du risque
Risk Numbre],tbl_Risks[Explication Probabilité Inhérent
Inherent Probability Explaination])</f>
        <v>L'architecture multi-projets d'AX360 et les nombreuses dépendances (Datastream, Pub/Sub KYC, intégrations externes) créent des points de défaillance potentiels. L'absence de logs d'audit (Ctrl 8 : 9%) et de gestion formelle des données (Ctrl 3 : 21%) limite la visibilité sur la disponibilité des données requises en temps voulu.</v>
      </c>
    </row>
    <row r="7" spans="1:3" ht="50.25" customHeight="1">
      <c r="A7" s="139" t="str">
        <f ca="1">IF(DocumentLanguage="FR",'DATA - PPT'!$A$64,'DATA - PPT'!$B$64)</f>
        <v>Impact</v>
      </c>
      <c r="B7" s="140" t="str">
        <f ca="1">_xlfn.XLOOKUP($B$1,tbl_Risks[Numéro du risque
Risk Numbre],tbl_Risks[Impact Inhérent
Inherent Impact])</f>
        <v>Limité</v>
      </c>
      <c r="C7" s="141" t="str">
        <f ca="1">_xlfn.XLOOKUP($B$1,tbl_Risks[Numéro du risque
Risk Numbre],tbl_Risks[Explication Probabilité Inhérent
Inherent Probability Explaination])</f>
        <v>L'architecture multi-projets d'AX360 et les nombreuses dépendances (Datastream, Pub/Sub KYC, intégrations externes) créent des points de défaillance potentiels. L'absence de logs d'audit (Ctrl 8 : 9%) et de gestion formelle des données (Ctrl 3 : 21%) limite la visibilité sur la disponibilité des données requises en temps voulu.</v>
      </c>
    </row>
    <row r="8" spans="1:3" ht="15.75">
      <c r="A8" s="139" t="str">
        <f ca="1">IF(DocumentLanguage="FR",'DATA - PPT'!$A$45,'DATA - PPT'!$B$45)</f>
        <v>Risque inhérent</v>
      </c>
      <c r="B8" s="140" t="str">
        <f ca="1">_xlfn.XLOOKUP($B$1,tbl_Risks[Numéro du risque
Risk Numbre],tbl_Risks[Niveau Risque Inhérent
Inherent Risk Level])</f>
        <v>2 - Modéré</v>
      </c>
      <c r="C8" s="141"/>
    </row>
    <row r="9" spans="1:3" ht="15.75">
      <c r="A9" s="139" t="str">
        <f ca="1">IF(DocumentLanguage="FR",'DATA - PPT'!$A$48,'DATA - PPT'!$B$48)</f>
        <v>Risque résiduel</v>
      </c>
      <c r="B9" s="140" t="str">
        <f ca="1">_xlfn.XLOOKUP($B$1,tbl_Risks[Numéro du risque
Risk Numbre],tbl_Risks[Risque résiduel
Residual risk])</f>
        <v>2 - Modéré</v>
      </c>
      <c r="C9" s="141" t="str">
        <f ca="1">_xlfn.XLOOKUP($B$1,tbl_Risks[Numéro du risque
Risk Numbre],tbl_Risks[Justification
Justification])</f>
        <v>Les contrôles de protection et gestion des données (Ctrl 3 : 21%) et les journaux d'audit (Ctrl 8 : 9%) sont non efficaces, limitant la détection des problèmes d'accessibilité. Cependant, la récupération des données (Ctrl 11 : 100%) et la sécurité applicative (Ctrl 16 : 83%) compensent partiellement. Efficacité globale partiellement efficace. Le niveau inhérent modéré et les contrôles de récupération en place permettent de maintenir le risque résiduel à un niveau faible.</v>
      </c>
    </row>
    <row r="10" spans="1:3" ht="15.75">
      <c r="A10" s="142" t="str">
        <f>IF(DocumentLanguage="FR",'DATA - PPT'!$A$58,'DATA - PPT'!$B$58)</f>
        <v>Nom du contrôle</v>
      </c>
      <c r="B10" s="143" t="str">
        <f>IF(DocumentLanguage="FR",'DATA - PPT'!$A$59,'DATA - PPT'!$B$59)</f>
        <v>Efficacité</v>
      </c>
      <c r="C10" s="144" t="str">
        <f>IF(DocumentLanguage="FR",'DATA - PPT'!$A$60,'DATA - PPT'!$B$60)</f>
        <v>Justificatif</v>
      </c>
    </row>
    <row r="11" spans="1:3" ht="15.75">
      <c r="A11" s="145" t="str" cm="1">
        <f t="array" aca="1" ref="A11:A14" ca="1">_xlfn.LET(_xlpm.controls, _xlfn.TEXTSPLIT(_xlfn.XLOOKUP($B$1,tbl_Risks[Numéro du risque
Risk Numbre], tbl_Risks[Controles applicables
Applicable controls]),,CHAR(10)),
RIGHT(_xlpm.controls, LEN(_xlpm.controls)-2))</f>
        <v>Protection des données</v>
      </c>
      <c r="B11" s="146" t="str">
        <f ca="1">_xlfn.XLOOKUP(A11,tbl_Controls[Controle
Control],tbl_Controls[Efficacité dans l''analyse de risque
Efficiency in the risk assessment])</f>
        <v>1 - Non efficace</v>
      </c>
      <c r="C11" s="147" t="str">
        <f ca="1">_xlfn.XLOOKUP(A11,tbl_Controls[Controle
Control],tbl_Controls[Justification
Justification])</f>
        <v>La protection des données est le contrôle le plus défaillant pour AX360. Aucun inventaire ni classification des données n'existe (03.01, 03.02 : Non), les listes de contrôle d'accès aux données ne sont pas configurées (03.03 : Non), et il n'y a pas de solution DLP déployée (03.13 : Non). Les données KYC (NAS, biométrie) dans le BigQuery Raw Layer ne sont pas masquées. Le chiffrement des données au repos est absent sur plusieurs services (03.11 : Non). Seuls le flux de données documenté (03.08 : Oui), le chiffrement en transit (03.10 : Oui) et la segmentation par type (03.12 : Oui) sont en place. Ce contrôle est non efficace (21%) malgré son importance critique pour un portefeuille financier.</v>
      </c>
    </row>
    <row r="12" spans="1:3" ht="15.75">
      <c r="A12" s="145" t="str">
        <f ca="1"/>
        <v>Gestion du journal d'audit</v>
      </c>
      <c r="B12" s="146" t="str">
        <f ca="1">_xlfn.XLOOKUP(A12,tbl_Controls[Controle
Control],tbl_Controls[Efficacité dans l''analyse de risque
Efficiency in the risk assessment])</f>
        <v>1 - Non efficace</v>
      </c>
      <c r="C12" s="147" t="str">
        <f ca="1">_xlfn.XLOOKUP(A12,tbl_Controls[Controle
Control],tbl_Controls[Justification
Justification])</f>
        <v>La gestion des journaux d'audit est le contrôle le plus défaillant de la plateforme AX360 (9%). Aucun processus de gestion des journaux n'est établi (08.01 : Non), les journaux d'audit ne sont pas collectés systématiquement sur BigQuery, Firestore et Cloud Run (08.02 : Non), et leur rétention n'est pas configurée (08.03, 08.10 : Non). L'absence de journalisation des requêtes BigQuery signifie que les exports CSV du chatbot sont indétectables. Seule la collecte des journaux de ligne de commande (08.08 : Oui) est active via Cloud Logging basique. Ce contrôle à 9% d'efficacité représente un angle mort majeur pour la détection d'incidents sur AX360.</v>
      </c>
    </row>
    <row r="13" spans="1:3" ht="15.75">
      <c r="A13" s="145" t="str">
        <f ca="1"/>
        <v>Récupération des données</v>
      </c>
      <c r="B13" s="146" t="str">
        <f ca="1">_xlfn.XLOOKUP(A13,tbl_Controls[Controle
Control],tbl_Controls[Efficacité dans l''analyse de risque
Efficiency in the risk assessment])</f>
        <v>2 - Partiellement efficace</v>
      </c>
      <c r="C13" s="147" t="str">
        <f ca="1">_xlfn.XLOOKUP(A13,tbl_Controls[Controle
Control],tbl_Controls[Justification
Justification])</f>
        <v>La récupération des données est pleinement efficace sur AX360 (100%). Les sauvegardes automatisées des bases Cloud SQL (IPS, Households, KYC, Notifications, Preferences, Advisor Data) sont activées (11.02 : Oui) et les données de récupération sont protégées (11.03 : Oui). Ces contrôles permettent de restaurer les données en cas d'incident de disponibilité ou de corruption. Les safeguards N/A (11.01, 11.04, 11.05) concernent des configurations hors périmètre GCP. Ce contrôle réduit efficacement l'impact des incidents R3 et R4 sur la continuité des données.</v>
      </c>
    </row>
    <row r="14" spans="1:3" ht="15.75">
      <c r="A14" s="145" t="str">
        <f ca="1"/>
        <v>Sécurité des logiciels et Applications</v>
      </c>
      <c r="B14" s="146" t="str">
        <f ca="1">_xlfn.XLOOKUP(A14,tbl_Controls[Controle
Control],tbl_Controls[Efficacité dans l''analyse de risque
Efficiency in the risk assessment])</f>
        <v>3 - Efficace</v>
      </c>
      <c r="C14" s="147" t="str">
        <f ca="1">_xlfn.XLOOKUP(A14,tbl_Controls[Controle
Control],tbl_Controls[Justification
Justification])</f>
        <v>La sécurité applicative est efficace sur AX360 (83%). Les processus d'acceptation et de traitement des vulnérabilités (16.02 : Oui), l'analyse des causes profondes (16.03 : Oui), la gestion des composants tiers (16.04, 16.05 : Oui), les modèles de configuration de renforcement (16.07 : Oui), la séparation prod/non-prod (16.08 : Oui), les contrôles de sécurité au niveau du code (16.12 : Oui) et les tests de pénétration applicatifs (16.13 : Oui) sont en place. Les lacunes sont l'absence de modules de sécurité approuvés pour composants sensibles (16.11 : Non) et de modélisation des menaces formelle (16.14 : Non).</v>
      </c>
    </row>
    <row r="15" spans="1:3" ht="15.75">
      <c r="A15" s="145"/>
      <c r="B15" s="146" t="e">
        <f ca="1">_xlfn.XLOOKUP(A15,tbl_Controls[Controle
Control],tbl_Controls[Efficacité dans l''analyse de risque
Efficiency in the risk assessment])</f>
        <v>#N/A</v>
      </c>
      <c r="C15" s="147" t="e">
        <f ca="1">_xlfn.XLOOKUP(A15,tbl_Controls[Controle
Control],tbl_Controls[Justification
Justification])</f>
        <v>#N/A</v>
      </c>
    </row>
    <row r="16" spans="1:3" ht="15.75">
      <c r="A16" s="145"/>
      <c r="B16" s="146" t="e">
        <f ca="1">_xlfn.XLOOKUP(A16,tbl_Controls[Controle
Control],tbl_Controls[Efficacité dans l''analyse de risque
Efficiency in the risk assessment])</f>
        <v>#N/A</v>
      </c>
      <c r="C16" s="147" t="e">
        <f ca="1">_xlfn.XLOOKUP(A16,tbl_Controls[Controle
Control],tbl_Controls[Justification
Justification])</f>
        <v>#N/A</v>
      </c>
    </row>
    <row r="17" spans="1:3" ht="15.75">
      <c r="A17" s="145"/>
      <c r="B17" s="146" t="e">
        <f ca="1">_xlfn.XLOOKUP(A17,tbl_Controls[Controle
Control],tbl_Controls[Efficacité dans l''analyse de risque
Efficiency in the risk assessment])</f>
        <v>#N/A</v>
      </c>
      <c r="C17" s="147" t="e">
        <f ca="1">_xlfn.XLOOKUP(A17,tbl_Controls[Controle
Control],tbl_Controls[Justification
Justification])</f>
        <v>#N/A</v>
      </c>
    </row>
    <row r="18" spans="1:3" ht="15.75">
      <c r="A18" s="145"/>
      <c r="B18" s="146" t="e">
        <f ca="1">_xlfn.XLOOKUP(A18,tbl_Controls[Controle
Control],tbl_Controls[Efficacité dans l''analyse de risque
Efficiency in the risk assessment])</f>
        <v>#N/A</v>
      </c>
      <c r="C18" s="147" t="e">
        <f ca="1">_xlfn.XLOOKUP(A18,tbl_Controls[Controle
Control],tbl_Controls[Justification
Justification])</f>
        <v>#N/A</v>
      </c>
    </row>
    <row r="19" spans="1:3" ht="15.75">
      <c r="A19" s="145"/>
      <c r="B19" s="146" t="e">
        <f ca="1">_xlfn.XLOOKUP(A19,tbl_Controls[Controle
Control],tbl_Controls[Efficacité dans l''analyse de risque
Efficiency in the risk assessment])</f>
        <v>#N/A</v>
      </c>
      <c r="C19" s="147" t="e">
        <f ca="1">_xlfn.XLOOKUP(A19,tbl_Controls[Controle
Control],tbl_Controls[Justification
Justification])</f>
        <v>#N/A</v>
      </c>
    </row>
    <row r="20" spans="1:3" ht="15.75">
      <c r="A20" s="145"/>
      <c r="B20" s="146" t="e">
        <f ca="1">_xlfn.XLOOKUP(A20,tbl_Controls[Controle
Control],tbl_Controls[Efficacité dans l''analyse de risque
Efficiency in the risk assessment])</f>
        <v>#N/A</v>
      </c>
      <c r="C20" s="147" t="e">
        <f ca="1">_xlfn.XLOOKUP(A20,tbl_Controls[Controle
Control],tbl_Controls[Justification
Justification])</f>
        <v>#N/A</v>
      </c>
    </row>
    <row r="21" spans="1:3" ht="15.75">
      <c r="A21" s="145"/>
      <c r="B21" s="146" t="e">
        <f ca="1">_xlfn.XLOOKUP(A21,tbl_Controls[Controle
Control],tbl_Controls[Efficacité dans l''analyse de risque
Efficiency in the risk assessment])</f>
        <v>#N/A</v>
      </c>
      <c r="C21" s="147" t="e">
        <f ca="1">_xlfn.XLOOKUP(A21,tbl_Controls[Controle
Control],tbl_Controls[Justification
Justification])</f>
        <v>#N/A</v>
      </c>
    </row>
    <row r="22" spans="1:3" ht="15.75">
      <c r="A22" s="150"/>
      <c r="B22" s="148" t="e">
        <f ca="1">_xlfn.XLOOKUP(A22,tbl_Controls[Controle
Control],tbl_Controls[Efficacité dans l''analyse de risque
Efficiency in the risk assessment])</f>
        <v>#N/A</v>
      </c>
      <c r="C22" s="149" t="e">
        <f ca="1">_xlfn.XLOOKUP(A22,tbl_Controls[Controle
Control],tbl_Controls[Justification
Justification])</f>
        <v>#N/A</v>
      </c>
    </row>
    <row r="23" spans="1:3" ht="15.75">
      <c r="A23" s="150"/>
      <c r="B23" s="148" t="e">
        <f ca="1">_xlfn.XLOOKUP(A23,tbl_Controls[Controle
Control],tbl_Controls[Efficacité dans l''analyse de risque
Efficiency in the risk assessment])</f>
        <v>#N/A</v>
      </c>
      <c r="C23" s="149" t="e">
        <f ca="1">_xlfn.XLOOKUP(A23,tbl_Controls[Controle
Control],tbl_Controls[Justification
Justification])</f>
        <v>#N/A</v>
      </c>
    </row>
    <row r="24" spans="1:3" ht="15.75">
      <c r="A24" s="150"/>
      <c r="B24" s="148" t="e">
        <f ca="1">_xlfn.XLOOKUP(A24,tbl_Controls[Controle
Control],tbl_Controls[Efficacité dans l''analyse de risque
Efficiency in the risk assessment])</f>
        <v>#N/A</v>
      </c>
      <c r="C24" s="149" t="e">
        <f ca="1">_xlfn.XLOOKUP(A24,tbl_Controls[Controle
Control],tbl_Controls[Justification
Justification])</f>
        <v>#N/A</v>
      </c>
    </row>
    <row r="25" spans="1:3" ht="15.75">
      <c r="A25" s="150"/>
      <c r="B25" s="148" t="e">
        <f ca="1">_xlfn.XLOOKUP(A25,tbl_Controls[Controle
Control],tbl_Controls[Efficacité dans l''analyse de risque
Efficiency in the risk assessment])</f>
        <v>#N/A</v>
      </c>
      <c r="C25" s="149" t="e">
        <f ca="1">_xlfn.XLOOKUP(A25,tbl_Controls[Controle
Control],tbl_Controls[Justification
Justification])</f>
        <v>#N/A</v>
      </c>
    </row>
    <row r="26" spans="1:3" ht="15.75">
      <c r="A26" s="150"/>
      <c r="B26" s="148" t="e">
        <f ca="1">_xlfn.XLOOKUP(A26,tbl_Controls[Controle
Control],tbl_Controls[Efficacité dans l''analyse de risque
Efficiency in the risk assessment])</f>
        <v>#N/A</v>
      </c>
      <c r="C26" s="149" t="e">
        <f ca="1">_xlfn.XLOOKUP(A26,tbl_Controls[Controle
Control],tbl_Controls[Justification
Justification])</f>
        <v>#N/A</v>
      </c>
    </row>
    <row r="27" spans="1:3" ht="15.75">
      <c r="A27" s="150"/>
      <c r="B27" s="148" t="e">
        <f ca="1">_xlfn.XLOOKUP(A27,tbl_Controls[Controle
Control],tbl_Controls[Efficacité dans l''analyse de risque
Efficiency in the risk assessment])</f>
        <v>#N/A</v>
      </c>
      <c r="C27" s="149" t="e">
        <f ca="1">_xlfn.XLOOKUP(A27,tbl_Controls[Controle
Control],tbl_Controls[Justification
Justification])</f>
        <v>#N/A</v>
      </c>
    </row>
    <row r="28" spans="1:3" ht="15.75">
      <c r="A28" s="150"/>
      <c r="B28" s="148" t="e">
        <f ca="1">_xlfn.XLOOKUP(A28,tbl_Controls[Controle
Control],tbl_Controls[Efficacité dans l''analyse de risque
Efficiency in the risk assessment])</f>
        <v>#N/A</v>
      </c>
      <c r="C28" s="149" t="e">
        <f ca="1">_xlfn.XLOOKUP(A28,tbl_Controls[Controle
Control],tbl_Controls[Justification
Justification])</f>
        <v>#N/A</v>
      </c>
    </row>
  </sheetData>
  <mergeCells count="2">
    <mergeCell ref="B2:C2"/>
    <mergeCell ref="B3:C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AC504-01A7-4804-96B4-D19A7317B8B9}">
  <sheetPr codeName="Sheet13"/>
  <dimension ref="A1:E28"/>
  <sheetViews>
    <sheetView topLeftCell="A10" workbookViewId="0">
      <selection activeCell="B25" sqref="B25"/>
    </sheetView>
  </sheetViews>
  <sheetFormatPr defaultColWidth="8.7109375" defaultRowHeight="15"/>
  <cols>
    <col min="1" max="1" width="31.5703125" customWidth="1"/>
    <col min="2" max="2" width="60.85546875" customWidth="1"/>
    <col min="3" max="3" width="11.28515625" bestFit="1" customWidth="1"/>
    <col min="4" max="4" width="16.28515625" customWidth="1"/>
    <col min="5" max="5" width="16.5703125" customWidth="1"/>
  </cols>
  <sheetData>
    <row r="1" spans="1:5" ht="45">
      <c r="A1" s="8" t="s">
        <v>295</v>
      </c>
      <c r="B1" s="8" t="s">
        <v>99</v>
      </c>
      <c r="C1" s="8" t="s">
        <v>296</v>
      </c>
      <c r="D1" s="8" t="s">
        <v>297</v>
      </c>
      <c r="E1" s="8" t="s">
        <v>298</v>
      </c>
    </row>
    <row r="2" spans="1:5" ht="30">
      <c r="A2" s="8" t="str" cm="1">
        <f t="array" aca="1" ref="A2" ca="1">INDIRECT("tbl_REF_Risk_Assessment_QA[@[Location_"&amp;DocumentLanguage&amp;"]]")</f>
        <v>Document d'analyse de risque, onglet "Risques"</v>
      </c>
      <c r="B2" s="8" t="str" cm="1">
        <f t="array" aca="1" ref="B2" ca="1">INDIRECT("tbl_REF_Risk_Assessment_QA[@[Description_"&amp;DocumentLanguage&amp;"]]")</f>
        <v>L'efficacité finale est documenté et prends compte les plans d'actions mitigant le risque</v>
      </c>
      <c r="C2" s="8"/>
      <c r="D2" s="106"/>
      <c r="E2" s="8"/>
    </row>
    <row r="3" spans="1:5" ht="30">
      <c r="A3" s="8" t="str" cm="1">
        <f t="array" aca="1" ref="A3" ca="1">INDIRECT("tbl_REF_Risk_Assessment_QA[@[Location_"&amp;DocumentLanguage&amp;"]]")</f>
        <v>Document d'analyse de risque, onglet "Risques"</v>
      </c>
      <c r="B3" s="8" t="str" cm="1">
        <f t="array" aca="1" ref="B3" ca="1">INDIRECT("tbl_REF_Risk_Assessment_QA[@[Description_"&amp;DocumentLanguage&amp;"]]")</f>
        <v>La justification de l'efficacité globale permet d'apprécié le niveau d'efficacité et utilise les critères d'évaluations</v>
      </c>
      <c r="C3" s="8"/>
      <c r="D3" s="106"/>
      <c r="E3" s="8"/>
    </row>
    <row r="4" spans="1:5" ht="30">
      <c r="A4" s="8" t="str" cm="1">
        <f t="array" aca="1" ref="A4" ca="1">INDIRECT("tbl_REF_Risk_Assessment_QA[@[Location_"&amp;DocumentLanguage&amp;"]]")</f>
        <v>Document d'analyse de risque, onglet "Risques"</v>
      </c>
      <c r="B4" s="8" t="str" cm="1">
        <f t="array" aca="1" ref="B4" ca="1">INDIRECT("tbl_REF_Risk_Assessment_QA[@[Description_"&amp;DocumentLanguage&amp;"]]")</f>
        <v>Les controles applicables choisis peuvent mitiger les causes identifiées et sont applicable au scénario de risque</v>
      </c>
      <c r="C4" s="8"/>
      <c r="D4" s="106"/>
      <c r="E4" s="8"/>
    </row>
    <row r="5" spans="1:5" ht="30">
      <c r="A5" s="8" t="str" cm="1">
        <f t="array" aca="1" ref="A5" ca="1">INDIRECT("tbl_REF_Risk_Assessment_QA[@[Location_"&amp;DocumentLanguage&amp;"]]")</f>
        <v>Document d'analyse de risque, onglet "Risques"</v>
      </c>
      <c r="B5" s="8" t="str" cm="1">
        <f t="array" aca="1" ref="B5" ca="1">INDIRECT("tbl_REF_Risk_Assessment_QA[@[Description_"&amp;DocumentLanguage&amp;"]]")</f>
        <v>La taxonomie est remplie et les causes, risque et impacts sont ajusté au contexte du risque et de l'analyse</v>
      </c>
      <c r="C5" s="8"/>
      <c r="D5" s="106"/>
      <c r="E5" s="8"/>
    </row>
    <row r="6" spans="1:5" ht="45">
      <c r="A6" s="8" t="str" cm="1">
        <f t="array" aca="1" ref="A6" ca="1">INDIRECT("tbl_REF_Risk_Assessment_QA[@[Location_"&amp;DocumentLanguage&amp;"]]")</f>
        <v>Document d'analyse de risque, onglet "Risques"</v>
      </c>
      <c r="B6" s="8" t="str" cm="1">
        <f t="array" aca="1" ref="B6" ca="1">INDIRECT("tbl_REF_Risk_Assessment_QA[@[Description_"&amp;DocumentLanguage&amp;"]]")</f>
        <v>La probabilité et l'impact inhérent de chaque risque fait abstraction des controles en place et le justificatif est suffisant pour bien comprendre l'enjeu</v>
      </c>
      <c r="C6" s="8"/>
      <c r="D6" s="106"/>
      <c r="E6" s="8"/>
    </row>
    <row r="7" spans="1:5" ht="30">
      <c r="A7" s="8" t="str" cm="1">
        <f t="array" aca="1" ref="A7" ca="1">INDIRECT("tbl_REF_Risk_Assessment_QA[@[Location_"&amp;DocumentLanguage&amp;"]]")</f>
        <v>Document d'analyse de risque, onglet "Risques"</v>
      </c>
      <c r="B7" s="8" t="str" cm="1">
        <f t="array" aca="1" ref="B7" ca="1">INDIRECT("tbl_REF_Risk_Assessment_QA[@[Description_"&amp;DocumentLanguage&amp;"]]")</f>
        <v>Tous les scénarios de risques TDSI de la LDD2 sont présents et documentés</v>
      </c>
      <c r="C7" s="8"/>
      <c r="D7" s="106"/>
      <c r="E7" s="8"/>
    </row>
    <row r="8" spans="1:5" ht="30">
      <c r="A8" s="8" t="str" cm="1">
        <f t="array" aca="1" ref="A8" ca="1">INDIRECT("tbl_REF_Risk_Assessment_QA[@[Location_"&amp;DocumentLanguage&amp;"]]")</f>
        <v>Document d'analyse de risque, onglet "Safeguards"</v>
      </c>
      <c r="B8" s="8" t="str" cm="1">
        <f t="array" aca="1" ref="B8" ca="1">INDIRECT("tbl_REF_Risk_Assessment_QA[@[Description_"&amp;DocumentLanguage&amp;"]]")</f>
        <v>Le status de mise en place est documenté pour chacun des safeguards.</v>
      </c>
      <c r="C8" s="8"/>
      <c r="D8" s="106"/>
      <c r="E8" s="8"/>
    </row>
    <row r="9" spans="1:5" ht="30">
      <c r="A9" s="8" t="str" cm="1">
        <f t="array" aca="1" ref="A9" ca="1">INDIRECT("tbl_REF_Risk_Assessment_QA[@[Location_"&amp;DocumentLanguage&amp;"]]")</f>
        <v>Document d'analyse de risque, onglet "Safeguards"</v>
      </c>
      <c r="B9" s="8" t="str" cm="1">
        <f t="array" aca="1" ref="B9" ca="1">INDIRECT("tbl_REF_Risk_Assessment_QA[@[Description_"&amp;DocumentLanguage&amp;"]]")</f>
        <v>Un commentaire est présent pour chaque Safeguard et permet de justifier le statut de mise en place.</v>
      </c>
      <c r="C9" s="8"/>
      <c r="D9" s="106"/>
      <c r="E9" s="8"/>
    </row>
    <row r="10" spans="1:5" ht="30">
      <c r="A10" s="8" t="str" cm="1">
        <f t="array" aca="1" ref="A10" ca="1">INDIRECT("tbl_REF_Risk_Assessment_QA[@[Location_"&amp;DocumentLanguage&amp;"]]")</f>
        <v>Document d'analyse de risque, onglet "Controls"</v>
      </c>
      <c r="B10" s="8" t="str" cm="1">
        <f t="array" aca="1" ref="B10" ca="1">INDIRECT("tbl_REF_Risk_Assessment_QA[@[Description_"&amp;DocumentLanguage&amp;"]]")</f>
        <v>L'efficacité de chaque contrôle est révisée et documentée.</v>
      </c>
      <c r="C10" s="8"/>
      <c r="D10" s="106"/>
      <c r="E10" s="8"/>
    </row>
    <row r="11" spans="1:5" ht="30">
      <c r="A11" s="8" t="str" cm="1">
        <f t="array" aca="1" ref="A11" ca="1">INDIRECT("tbl_REF_Risk_Assessment_QA[@[Location_"&amp;DocumentLanguage&amp;"]]")</f>
        <v>Document d'analyse de risque, onglet "Controls"</v>
      </c>
      <c r="B11" s="8" t="str" cm="1">
        <f t="array" aca="1" ref="B11" ca="1">INDIRECT("tbl_REF_Risk_Assessment_QA[@[Description_"&amp;DocumentLanguage&amp;"]]")</f>
        <v>Une justification est présente pour chaque contrôle et permet de comprendre les raison du choix d'efficacité.</v>
      </c>
      <c r="C11" s="8"/>
      <c r="D11" s="106"/>
      <c r="E11" s="8"/>
    </row>
    <row r="12" spans="1:5" ht="30">
      <c r="A12" s="8" t="str" cm="1">
        <f t="array" aca="1" ref="A12" ca="1">INDIRECT("tbl_REF_Risk_Assessment_QA[@[Location_"&amp;DocumentLanguage&amp;"]]")</f>
        <v>Document d'analyse de risque, onglet "Controls"</v>
      </c>
      <c r="B12" s="8" t="str" cm="1">
        <f t="array" aca="1" ref="B12" ca="1">INDIRECT("tbl_REF_Risk_Assessment_QA[@[Description_"&amp;DocumentLanguage&amp;"]]")</f>
        <v>La liste des causes impactés par le controle est présente et juste.</v>
      </c>
      <c r="C12" s="8"/>
      <c r="D12" s="106"/>
      <c r="E12" s="8"/>
    </row>
    <row r="13" spans="1:5" ht="30">
      <c r="A13" s="8" t="str" cm="1">
        <f t="array" aca="1" ref="A13" ca="1">INDIRECT("tbl_REF_Risk_Assessment_QA[@[Location_"&amp;DocumentLanguage&amp;"]]")</f>
        <v>Document d'analyse de risque, onglet "Contexte et portée"</v>
      </c>
      <c r="B13" s="8" t="str" cm="1">
        <f t="array" aca="1" ref="B13" ca="1">INDIRECT("tbl_REF_Risk_Assessment_QA[@[Description_"&amp;DocumentLanguage&amp;"]]")</f>
        <v>Tous les champs de chacune des sections de l'onglet "Contexte et portée" sont complétés.</v>
      </c>
      <c r="C13" s="8"/>
      <c r="D13" s="106"/>
      <c r="E13" s="8"/>
    </row>
    <row r="14" spans="1:5" ht="45">
      <c r="A14" s="8" t="str" cm="1">
        <f t="array" aca="1" ref="A14" ca="1">INDIRECT("tbl_REF_Risk_Assessment_QA[@[Location_"&amp;DocumentLanguage&amp;"]]")</f>
        <v>Document d'analyse de risque, onglet "Contexte et portée"</v>
      </c>
      <c r="B14" s="8" t="str" cm="1">
        <f t="array" aca="1" ref="B14" ca="1">INDIRECT("tbl_REF_Risk_Assessment_QA[@[Description_"&amp;DocumentLanguage&amp;"]]")</f>
        <v>Le champ "Contexte de la solution et raison d'évaluation" décrit clairement d'où provient la demande ainsi que les raisons de l'évaluation de sécurité.</v>
      </c>
      <c r="C14" s="8"/>
      <c r="D14" s="106"/>
      <c r="E14" s="8"/>
    </row>
    <row r="15" spans="1:5" ht="30">
      <c r="A15" s="8" t="str" cm="1">
        <f t="array" aca="1" ref="A15" ca="1">INDIRECT("tbl_REF_Risk_Assessment_QA[@[Location_"&amp;DocumentLanguage&amp;"]]")</f>
        <v>Document d'analyse de risque, onglet "Contexte et portée"</v>
      </c>
      <c r="B15" s="8" t="str" cm="1">
        <f t="array" aca="1" ref="B15" ca="1">INDIRECT("tbl_REF_Risk_Assessment_QA[@[Description_"&amp;DocumentLanguage&amp;"]]")</f>
        <v>Les champs "Portées" décrivent clairement quels composants sont inclus dans l'analyse de risque.</v>
      </c>
      <c r="C15" s="8"/>
      <c r="D15" s="106"/>
      <c r="E15" s="8"/>
    </row>
    <row r="16" spans="1:5" ht="30">
      <c r="A16" s="8" t="str" cm="1">
        <f t="array" aca="1" ref="A16" ca="1">INDIRECT("tbl_REF_Risk_Assessment_QA[@[Location_"&amp;DocumentLanguage&amp;"]]")</f>
        <v>Document d'analyse de risque, onglet "Contexte et portée"</v>
      </c>
      <c r="B16" s="8" t="str" cm="1">
        <f t="array" aca="1" ref="B16" ca="1">INDIRECT("tbl_REF_Risk_Assessment_QA[@[Description_"&amp;DocumentLanguage&amp;"]]")</f>
        <v>Le champ "Objectifs affaires" décrit les besoins d'affaires répondues par la solution.</v>
      </c>
      <c r="C16" s="8"/>
      <c r="D16" s="106"/>
      <c r="E16" s="8"/>
    </row>
    <row r="17" spans="1:5" ht="45">
      <c r="A17" s="8" t="str" cm="1">
        <f t="array" aca="1" ref="A17" ca="1">INDIRECT("tbl_REF_Risk_Assessment_QA[@[Location_"&amp;DocumentLanguage&amp;"]]")</f>
        <v>Document d'analyse de risque, onglet "Plan d'action"</v>
      </c>
      <c r="B17" s="8" t="str" cm="1">
        <f t="array" aca="1" ref="B17" ca="1">INDIRECT("tbl_REF_Risk_Assessment_QA[@[Description_"&amp;DocumentLanguage&amp;"]]")</f>
        <v>Tous les risques au-dessus du seuil de tolérance ont au moins un plan d'action et le risque peut être mitigé à un niveau acceptable avec les plans d'actions documentés.</v>
      </c>
      <c r="C17" s="8"/>
      <c r="D17" s="106"/>
      <c r="E17" s="8"/>
    </row>
    <row r="18" spans="1:5" ht="30">
      <c r="A18" s="8" t="str" cm="1">
        <f t="array" aca="1" ref="A18" ca="1">INDIRECT("tbl_REF_Risk_Assessment_QA[@[Location_"&amp;DocumentLanguage&amp;"]]")</f>
        <v>Document d'analyse de risque, onglet "Plan d'action"</v>
      </c>
      <c r="B18" s="8" t="str" cm="1">
        <f t="array" aca="1" ref="B18" ca="1">INDIRECT("tbl_REF_Risk_Assessment_QA[@[Description_"&amp;DocumentLanguage&amp;"]]")</f>
        <v>Le titre du plan d'action résume bien les actions à effectuer.</v>
      </c>
      <c r="C18" s="8"/>
      <c r="D18" s="106"/>
      <c r="E18" s="8"/>
    </row>
    <row r="19" spans="1:5" ht="45">
      <c r="A19" s="8" t="str" cm="1">
        <f t="array" aca="1" ref="A19" ca="1">INDIRECT("tbl_REF_Risk_Assessment_QA[@[Location_"&amp;DocumentLanguage&amp;"]]")</f>
        <v>Document d'analyse de risque, onglet "Plan d'action"</v>
      </c>
      <c r="B19" s="8" t="str" cm="1">
        <f t="array" aca="1" ref="B19" ca="1">INDIRECT("tbl_REF_Risk_Assessment_QA[@[Description_"&amp;DocumentLanguage&amp;"]]")</f>
        <v>Les actions permettent de réduire les risques identifiés et les évidences sont suffisamment détaillées pour permettre de bien évaluer la mise en place du plan d'action.</v>
      </c>
      <c r="C19" s="8"/>
      <c r="D19" s="106"/>
      <c r="E19" s="8"/>
    </row>
    <row r="20" spans="1:5" ht="30">
      <c r="A20" s="8" t="str" cm="1">
        <f t="array" aca="1" ref="A20" ca="1">INDIRECT("tbl_REF_Risk_Assessment_QA[@[Location_"&amp;DocumentLanguage&amp;"]]")</f>
        <v>Document d'analyse de risque, onglet "Plan d'action"</v>
      </c>
      <c r="B20" s="8" t="str" cm="1">
        <f t="array" aca="1" ref="B20" ca="1">INDIRECT("tbl_REF_Risk_Assessment_QA[@[Description_"&amp;DocumentLanguage&amp;"]]")</f>
        <v>Les propriétaires sont définis et les dates de début et de fin planifiés ont été validés avec eux.</v>
      </c>
      <c r="C20" s="8"/>
      <c r="D20" s="106"/>
      <c r="E20" s="8"/>
    </row>
    <row r="21" spans="1:5" ht="30">
      <c r="A21" s="8" t="str" cm="1">
        <f t="array" aca="1" ref="A21" ca="1">INDIRECT("tbl_REF_Risk_Assessment_QA[@[Location_"&amp;DocumentLanguage&amp;"]]")</f>
        <v>Présentation PowerPoint, page titre</v>
      </c>
      <c r="B21" s="8" t="str" cm="1">
        <f t="array" aca="1" ref="B21" ca="1">INDIRECT("tbl_REF_Risk_Assessment_QA[@[Description_"&amp;DocumentLanguage&amp;"]]")</f>
        <v>Le nom du conseiller, du réviseur, du projet et la date doivent être à jour.</v>
      </c>
      <c r="C21" s="8"/>
      <c r="D21" s="106"/>
      <c r="E21" s="8"/>
    </row>
    <row r="22" spans="1:5" ht="30">
      <c r="A22" s="8" t="str" cm="1">
        <f t="array" aca="1" ref="A22" ca="1">INDIRECT("tbl_REF_Risk_Assessment_QA[@[Location_"&amp;DocumentLanguage&amp;"]]")</f>
        <v>Présentation PowerPoint, contexte et portée</v>
      </c>
      <c r="B22" s="8" t="str" cm="1">
        <f t="array" aca="1" ref="B22" ca="1">INDIRECT("tbl_REF_Risk_Assessment_QA[@[Description_"&amp;DocumentLanguage&amp;"]]")</f>
        <v>Le tableau de contexte a été ajouté et contient les informations à jour.</v>
      </c>
      <c r="C22" s="8"/>
      <c r="D22" s="106"/>
      <c r="E22" s="8"/>
    </row>
    <row r="23" spans="1:5" ht="30">
      <c r="A23" s="8" t="str" cm="1">
        <f t="array" aca="1" ref="A23" ca="1">INDIRECT("tbl_REF_Risk_Assessment_QA[@[Location_"&amp;DocumentLanguage&amp;"]]")</f>
        <v>Présentation PowerPoint, sommaire des risques</v>
      </c>
      <c r="B23" s="8" t="str" cm="1">
        <f t="array" aca="1" ref="B23" ca="1">INDIRECT("tbl_REF_Risk_Assessment_QA[@[Description_"&amp;DocumentLanguage&amp;"]]")</f>
        <v>Le tableau des risques a été ajouté à la présentation, il contient tous les risques et les informations sont à jour.</v>
      </c>
      <c r="C23" s="8"/>
      <c r="D23" s="106"/>
      <c r="E23" s="8"/>
    </row>
    <row r="24" spans="1:5" ht="30">
      <c r="A24" s="8" t="str" cm="1">
        <f t="array" aca="1" ref="A24" ca="1">INDIRECT("tbl_REF_Risk_Assessment_QA[@[Location_"&amp;DocumentLanguage&amp;"]]")</f>
        <v>Présentation PowerPoint, risques évalués</v>
      </c>
      <c r="B24" s="8" t="str" cm="1">
        <f t="array" aca="1" ref="B24" ca="1">INDIRECT("tbl_REF_Risk_Assessment_QA[@[Description_"&amp;DocumentLanguage&amp;"]]")</f>
        <v>Chaque risque évalué au-dessus du seuil de tolérance est ajouté dans la présentation PowerPoint et est à jour.</v>
      </c>
      <c r="C24" s="8"/>
      <c r="D24" s="106"/>
      <c r="E24" s="8"/>
    </row>
    <row r="25" spans="1:5" ht="30">
      <c r="A25" s="8" t="str" cm="1">
        <f t="array" aca="1" ref="A25" ca="1">INDIRECT("tbl_REF_Risk_Assessment_QA[@[Location_"&amp;DocumentLanguage&amp;"]]")</f>
        <v>Présentation PowerPoint, sommaire des plans d'actions</v>
      </c>
      <c r="B25" s="8" t="str" cm="1">
        <f t="array" aca="1" ref="B25" ca="1">INDIRECT("tbl_REF_Risk_Assessment_QA[@[Description_"&amp;DocumentLanguage&amp;"]]")</f>
        <v>Le tableau des plans d'action est ajouté à la présentation PowerPoint et contient des informations à jour.</v>
      </c>
      <c r="C25" s="8"/>
      <c r="D25" s="106"/>
      <c r="E25" s="8"/>
    </row>
    <row r="26" spans="1:5" ht="30">
      <c r="A26" s="8" t="str" cm="1">
        <f t="array" aca="1" ref="A26" ca="1">INDIRECT("tbl_REF_Risk_Assessment_QA[@[Location_"&amp;DocumentLanguage&amp;"]]")</f>
        <v>Présentation PowerPoint, schéma de menace</v>
      </c>
      <c r="B26" s="8" t="str" cm="1">
        <f t="array" aca="1" ref="B26" ca="1">INDIRECT("tbl_REF_Risk_Assessment_QA[@[Description_"&amp;DocumentLanguage&amp;"]]")</f>
        <v>Le schéma de menace est présent dans la présentation et l'information est à jour.</v>
      </c>
      <c r="C26" s="8"/>
      <c r="D26" s="106"/>
      <c r="E26" s="8"/>
    </row>
    <row r="27" spans="1:5" ht="30">
      <c r="A27" s="8" t="str" cm="1">
        <f t="array" aca="1" ref="A27" ca="1">INDIRECT("tbl_REF_Risk_Assessment_QA[@[Location_"&amp;DocumentLanguage&amp;"]]")</f>
        <v>Présentation PowerPoint, détail des risques</v>
      </c>
      <c r="B27" s="8" t="str" cm="1">
        <f t="array" aca="1" ref="B27" ca="1">INDIRECT("tbl_REF_Risk_Assessment_QA[@[Description_"&amp;DocumentLanguage&amp;"]]")</f>
        <v>Le tableau de détail de tous les risques évalués est présent dans la présentation PowerPoint.</v>
      </c>
      <c r="C27" s="8"/>
      <c r="D27" s="106"/>
      <c r="E27" s="8"/>
    </row>
    <row r="28" spans="1:5">
      <c r="A28" s="8"/>
      <c r="B28" s="8"/>
      <c r="C28" s="8"/>
      <c r="D28" s="106"/>
      <c r="E28" s="8"/>
    </row>
  </sheetData>
  <dataValidations count="1">
    <dataValidation type="list" allowBlank="1" showInputMessage="1" showErrorMessage="1" sqref="C2:C27" xr:uid="{150A871E-2507-4242-A3D8-F44B28293070}">
      <formula1>INDIRECT("lst_QA_"&amp;DocumentLanguage)</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902D0-7625-4E6D-9F58-98A471D9953A}">
  <sheetPr codeName="Sheet5">
    <tabColor rgb="FFC00000"/>
  </sheetPr>
  <dimension ref="A1:B68"/>
  <sheetViews>
    <sheetView topLeftCell="A14" workbookViewId="0">
      <selection activeCell="A14" sqref="A14"/>
    </sheetView>
  </sheetViews>
  <sheetFormatPr defaultColWidth="8.7109375" defaultRowHeight="15"/>
  <cols>
    <col min="1" max="1" width="40.7109375" bestFit="1" customWidth="1"/>
    <col min="2" max="2" width="19.7109375" bestFit="1" customWidth="1"/>
  </cols>
  <sheetData>
    <row r="1" spans="1:2">
      <c r="A1" s="231" t="s">
        <v>299</v>
      </c>
      <c r="B1" s="231"/>
    </row>
    <row r="2" spans="1:2">
      <c r="A2" t="s">
        <v>300</v>
      </c>
      <c r="B2" t="s">
        <v>301</v>
      </c>
    </row>
    <row r="3" spans="1:2">
      <c r="A3" t="s">
        <v>302</v>
      </c>
      <c r="B3" t="s">
        <v>303</v>
      </c>
    </row>
    <row r="4" spans="1:2">
      <c r="A4" t="s">
        <v>304</v>
      </c>
      <c r="B4" t="s">
        <v>305</v>
      </c>
    </row>
    <row r="5" spans="1:2">
      <c r="A5" t="s">
        <v>306</v>
      </c>
      <c r="B5" t="s">
        <v>307</v>
      </c>
    </row>
    <row r="6" spans="1:2">
      <c r="A6" t="s">
        <v>308</v>
      </c>
      <c r="B6" t="s">
        <v>309</v>
      </c>
    </row>
    <row r="7" spans="1:2">
      <c r="A7" t="s">
        <v>310</v>
      </c>
      <c r="B7" t="s">
        <v>311</v>
      </c>
    </row>
    <row r="8" spans="1:2">
      <c r="A8" t="s">
        <v>312</v>
      </c>
      <c r="B8" t="s">
        <v>313</v>
      </c>
    </row>
    <row r="10" spans="1:2">
      <c r="A10" s="231" t="s">
        <v>314</v>
      </c>
      <c r="B10" s="231"/>
    </row>
    <row r="11" spans="1:2">
      <c r="A11" s="67" t="s">
        <v>300</v>
      </c>
      <c r="B11" s="67" t="s">
        <v>301</v>
      </c>
    </row>
    <row r="12" spans="1:2">
      <c r="A12" t="s">
        <v>315</v>
      </c>
      <c r="B12" t="s">
        <v>316</v>
      </c>
    </row>
    <row r="13" spans="1:2">
      <c r="A13" t="s">
        <v>317</v>
      </c>
      <c r="B13" t="s">
        <v>317</v>
      </c>
    </row>
    <row r="14" spans="1:2">
      <c r="A14" t="s">
        <v>318</v>
      </c>
      <c r="B14" t="s">
        <v>319</v>
      </c>
    </row>
    <row r="15" spans="1:2">
      <c r="A15" t="s">
        <v>320</v>
      </c>
      <c r="B15" t="s">
        <v>321</v>
      </c>
    </row>
    <row r="16" spans="1:2">
      <c r="A16" t="s">
        <v>322</v>
      </c>
      <c r="B16" t="s">
        <v>323</v>
      </c>
    </row>
    <row r="18" spans="1:2">
      <c r="A18" s="231" t="s">
        <v>324</v>
      </c>
      <c r="B18" s="231"/>
    </row>
    <row r="19" spans="1:2">
      <c r="A19" t="s">
        <v>325</v>
      </c>
      <c r="B19" t="s">
        <v>325</v>
      </c>
    </row>
    <row r="20" spans="1:2">
      <c r="A20" t="s">
        <v>326</v>
      </c>
      <c r="B20" t="s">
        <v>327</v>
      </c>
    </row>
    <row r="21" spans="1:2">
      <c r="A21" t="s">
        <v>328</v>
      </c>
      <c r="B21" t="s">
        <v>329</v>
      </c>
    </row>
    <row r="22" spans="1:2">
      <c r="A22" t="s">
        <v>330</v>
      </c>
      <c r="B22" t="s">
        <v>331</v>
      </c>
    </row>
    <row r="23" spans="1:2">
      <c r="A23" t="s">
        <v>332</v>
      </c>
      <c r="B23" t="s">
        <v>333</v>
      </c>
    </row>
    <row r="24" spans="1:2">
      <c r="A24" t="s">
        <v>334</v>
      </c>
      <c r="B24" t="s">
        <v>335</v>
      </c>
    </row>
    <row r="25" spans="1:2">
      <c r="A25" t="s">
        <v>336</v>
      </c>
      <c r="B25" t="s">
        <v>337</v>
      </c>
    </row>
    <row r="26" spans="1:2">
      <c r="A26" t="s">
        <v>338</v>
      </c>
      <c r="B26" t="s">
        <v>339</v>
      </c>
    </row>
    <row r="27" spans="1:2">
      <c r="A27" t="s">
        <v>340</v>
      </c>
      <c r="B27" t="s">
        <v>341</v>
      </c>
    </row>
    <row r="28" spans="1:2">
      <c r="A28" t="s">
        <v>342</v>
      </c>
      <c r="B28" t="s">
        <v>343</v>
      </c>
    </row>
    <row r="29" spans="1:2">
      <c r="A29" t="s">
        <v>344</v>
      </c>
      <c r="B29" t="s">
        <v>345</v>
      </c>
    </row>
    <row r="30" spans="1:2">
      <c r="A30" t="s">
        <v>346</v>
      </c>
      <c r="B30" t="s">
        <v>347</v>
      </c>
    </row>
    <row r="31" spans="1:2">
      <c r="A31" t="s">
        <v>348</v>
      </c>
      <c r="B31" t="s">
        <v>349</v>
      </c>
    </row>
    <row r="32" spans="1:2">
      <c r="A32" t="s">
        <v>350</v>
      </c>
      <c r="B32" t="s">
        <v>351</v>
      </c>
    </row>
    <row r="33" spans="1:2">
      <c r="A33" t="s">
        <v>352</v>
      </c>
      <c r="B33" t="s">
        <v>353</v>
      </c>
    </row>
    <row r="34" spans="1:2">
      <c r="A34" t="s">
        <v>354</v>
      </c>
      <c r="B34" t="s">
        <v>355</v>
      </c>
    </row>
    <row r="35" spans="1:2">
      <c r="A35" t="s">
        <v>356</v>
      </c>
      <c r="B35" t="s">
        <v>357</v>
      </c>
    </row>
    <row r="36" spans="1:2">
      <c r="A36" t="s">
        <v>358</v>
      </c>
      <c r="B36" t="s">
        <v>359</v>
      </c>
    </row>
    <row r="37" spans="1:2">
      <c r="A37" t="s">
        <v>360</v>
      </c>
      <c r="B37" t="s">
        <v>361</v>
      </c>
    </row>
    <row r="38" spans="1:2">
      <c r="A38" t="s">
        <v>362</v>
      </c>
      <c r="B38" t="s">
        <v>363</v>
      </c>
    </row>
    <row r="40" spans="1:2">
      <c r="A40" s="231" t="s">
        <v>364</v>
      </c>
      <c r="B40" s="231"/>
    </row>
    <row r="41" spans="1:2">
      <c r="A41" t="s">
        <v>365</v>
      </c>
      <c r="B41" t="s">
        <v>366</v>
      </c>
    </row>
    <row r="42" spans="1:2">
      <c r="A42" t="s">
        <v>302</v>
      </c>
      <c r="B42" t="s">
        <v>303</v>
      </c>
    </row>
    <row r="43" spans="1:2">
      <c r="A43" t="s">
        <v>367</v>
      </c>
      <c r="B43" t="s">
        <v>368</v>
      </c>
    </row>
    <row r="44" spans="1:2">
      <c r="A44" t="s">
        <v>369</v>
      </c>
      <c r="B44" t="s">
        <v>370</v>
      </c>
    </row>
    <row r="45" spans="1:2">
      <c r="A45" t="s">
        <v>304</v>
      </c>
      <c r="B45" t="s">
        <v>305</v>
      </c>
    </row>
    <row r="46" spans="1:2">
      <c r="A46" t="s">
        <v>306</v>
      </c>
      <c r="B46" t="s">
        <v>307</v>
      </c>
    </row>
    <row r="47" spans="1:2">
      <c r="A47" t="s">
        <v>308</v>
      </c>
      <c r="B47" t="s">
        <v>309</v>
      </c>
    </row>
    <row r="48" spans="1:2">
      <c r="A48" t="s">
        <v>310</v>
      </c>
      <c r="B48" t="s">
        <v>311</v>
      </c>
    </row>
    <row r="49" spans="1:2">
      <c r="A49" t="s">
        <v>371</v>
      </c>
      <c r="B49" t="s">
        <v>372</v>
      </c>
    </row>
    <row r="50" spans="1:2">
      <c r="A50" t="s">
        <v>315</v>
      </c>
      <c r="B50" t="s">
        <v>316</v>
      </c>
    </row>
    <row r="52" spans="1:2">
      <c r="A52" t="s">
        <v>373</v>
      </c>
      <c r="B52" t="s">
        <v>374</v>
      </c>
    </row>
    <row r="53" spans="1:2">
      <c r="A53" t="s">
        <v>318</v>
      </c>
      <c r="B53" t="s">
        <v>319</v>
      </c>
    </row>
    <row r="54" spans="1:2">
      <c r="A54" t="s">
        <v>320</v>
      </c>
      <c r="B54" t="s">
        <v>321</v>
      </c>
    </row>
    <row r="55" spans="1:2">
      <c r="A55" t="s">
        <v>322</v>
      </c>
      <c r="B55" t="s">
        <v>323</v>
      </c>
    </row>
    <row r="57" spans="1:2">
      <c r="A57" t="s">
        <v>375</v>
      </c>
      <c r="B57" t="s">
        <v>376</v>
      </c>
    </row>
    <row r="58" spans="1:2">
      <c r="A58" t="s">
        <v>377</v>
      </c>
      <c r="B58" t="s">
        <v>378</v>
      </c>
    </row>
    <row r="59" spans="1:2">
      <c r="A59" t="s">
        <v>379</v>
      </c>
      <c r="B59" t="s">
        <v>380</v>
      </c>
    </row>
    <row r="60" spans="1:2">
      <c r="A60" t="s">
        <v>381</v>
      </c>
      <c r="B60" t="s">
        <v>382</v>
      </c>
    </row>
    <row r="62" spans="1:2">
      <c r="A62" t="s">
        <v>383</v>
      </c>
      <c r="B62" t="s">
        <v>384</v>
      </c>
    </row>
    <row r="63" spans="1:2">
      <c r="A63" t="s">
        <v>385</v>
      </c>
      <c r="B63" t="s">
        <v>386</v>
      </c>
    </row>
    <row r="64" spans="1:2">
      <c r="A64" t="s">
        <v>387</v>
      </c>
      <c r="B64" t="s">
        <v>387</v>
      </c>
    </row>
    <row r="66" spans="1:2">
      <c r="A66" t="s">
        <v>388</v>
      </c>
      <c r="B66" t="s">
        <v>388</v>
      </c>
    </row>
    <row r="67" spans="1:2">
      <c r="A67" t="s">
        <v>365</v>
      </c>
      <c r="B67" t="s">
        <v>389</v>
      </c>
    </row>
    <row r="68" spans="1:2">
      <c r="A68" t="s">
        <v>390</v>
      </c>
      <c r="B68" t="s">
        <v>390</v>
      </c>
    </row>
  </sheetData>
  <mergeCells count="4">
    <mergeCell ref="A1:B1"/>
    <mergeCell ref="A10:B10"/>
    <mergeCell ref="A18:B18"/>
    <mergeCell ref="A40:B40"/>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A0780-9591-4E3B-9F59-34728DAA2108}">
  <sheetPr codeName="Sheet15">
    <tabColor rgb="FFC00000"/>
  </sheetPr>
  <dimension ref="A1:B59"/>
  <sheetViews>
    <sheetView topLeftCell="A14" workbookViewId="0"/>
  </sheetViews>
  <sheetFormatPr defaultColWidth="8.5703125" defaultRowHeight="15"/>
  <cols>
    <col min="1" max="1" width="55.42578125" style="46" customWidth="1"/>
    <col min="2" max="2" width="55.42578125" style="8" customWidth="1"/>
  </cols>
  <sheetData>
    <row r="1" spans="1:2">
      <c r="A1" s="47" t="s">
        <v>0</v>
      </c>
      <c r="B1" s="47" t="s">
        <v>391</v>
      </c>
    </row>
    <row r="2" spans="1:2">
      <c r="A2" s="46" t="s">
        <v>392</v>
      </c>
      <c r="B2" s="8" t="s">
        <v>393</v>
      </c>
    </row>
    <row r="3" spans="1:2">
      <c r="A3" s="46" t="s">
        <v>326</v>
      </c>
      <c r="B3" s="8" t="s">
        <v>327</v>
      </c>
    </row>
    <row r="4" spans="1:2">
      <c r="A4" s="46" t="s">
        <v>394</v>
      </c>
      <c r="B4" s="8" t="s">
        <v>395</v>
      </c>
    </row>
    <row r="5" spans="1:2">
      <c r="A5" s="47" t="s">
        <v>396</v>
      </c>
      <c r="B5" s="47" t="s">
        <v>397</v>
      </c>
    </row>
    <row r="6" spans="1:2">
      <c r="A6" s="8" t="s">
        <v>398</v>
      </c>
      <c r="B6" s="8" t="s">
        <v>399</v>
      </c>
    </row>
    <row r="7" spans="1:2">
      <c r="A7" s="8" t="s">
        <v>400</v>
      </c>
      <c r="B7" s="8" t="s">
        <v>401</v>
      </c>
    </row>
    <row r="8" spans="1:2">
      <c r="A8" s="8" t="s">
        <v>402</v>
      </c>
      <c r="B8" s="8" t="s">
        <v>403</v>
      </c>
    </row>
    <row r="9" spans="1:2">
      <c r="A9" s="8" t="s">
        <v>404</v>
      </c>
      <c r="B9" s="8" t="s">
        <v>405</v>
      </c>
    </row>
    <row r="10" spans="1:2">
      <c r="A10" s="8" t="s">
        <v>406</v>
      </c>
      <c r="B10" s="8" t="s">
        <v>407</v>
      </c>
    </row>
    <row r="11" spans="1:2">
      <c r="A11" s="47" t="s">
        <v>408</v>
      </c>
      <c r="B11" s="47" t="s">
        <v>409</v>
      </c>
    </row>
    <row r="12" spans="1:2">
      <c r="A12" s="8" t="s">
        <v>410</v>
      </c>
      <c r="B12" s="8" t="s">
        <v>411</v>
      </c>
    </row>
    <row r="13" spans="1:2" ht="30">
      <c r="A13" s="8" t="s">
        <v>412</v>
      </c>
      <c r="B13" s="8" t="s">
        <v>413</v>
      </c>
    </row>
    <row r="14" spans="1:2">
      <c r="A14" s="47" t="s">
        <v>414</v>
      </c>
      <c r="B14" s="47" t="s">
        <v>414</v>
      </c>
    </row>
    <row r="15" spans="1:2">
      <c r="A15" s="8" t="s">
        <v>336</v>
      </c>
      <c r="B15" s="8" t="s">
        <v>415</v>
      </c>
    </row>
    <row r="16" spans="1:2">
      <c r="A16" s="8" t="s">
        <v>416</v>
      </c>
      <c r="B16" s="8" t="s">
        <v>417</v>
      </c>
    </row>
    <row r="17" spans="1:2">
      <c r="A17" s="47" t="s">
        <v>418</v>
      </c>
      <c r="B17" s="47" t="s">
        <v>419</v>
      </c>
    </row>
    <row r="18" spans="1:2">
      <c r="A18" s="8" t="s">
        <v>420</v>
      </c>
      <c r="B18" s="8" t="s">
        <v>421</v>
      </c>
    </row>
    <row r="19" spans="1:2">
      <c r="A19" s="8" t="s">
        <v>422</v>
      </c>
      <c r="B19" s="8" t="s">
        <v>423</v>
      </c>
    </row>
    <row r="20" spans="1:2">
      <c r="A20" s="8" t="s">
        <v>424</v>
      </c>
      <c r="B20" s="8" t="s">
        <v>425</v>
      </c>
    </row>
    <row r="21" spans="1:2">
      <c r="A21" s="8" t="s">
        <v>426</v>
      </c>
      <c r="B21" s="8" t="s">
        <v>427</v>
      </c>
    </row>
    <row r="22" spans="1:2" ht="30">
      <c r="A22" s="8" t="s">
        <v>428</v>
      </c>
      <c r="B22" s="8" t="s">
        <v>429</v>
      </c>
    </row>
    <row r="23" spans="1:2">
      <c r="A23" s="8" t="s">
        <v>430</v>
      </c>
      <c r="B23" s="8" t="s">
        <v>431</v>
      </c>
    </row>
    <row r="24" spans="1:2">
      <c r="A24" s="8" t="s">
        <v>432</v>
      </c>
      <c r="B24" s="8" t="s">
        <v>433</v>
      </c>
    </row>
    <row r="25" spans="1:2" ht="30">
      <c r="A25" s="47" t="s">
        <v>434</v>
      </c>
      <c r="B25" s="47" t="s">
        <v>435</v>
      </c>
    </row>
    <row r="26" spans="1:2">
      <c r="A26" s="8" t="s">
        <v>436</v>
      </c>
      <c r="B26" s="8" t="s">
        <v>437</v>
      </c>
    </row>
    <row r="27" spans="1:2">
      <c r="A27" s="8" t="s">
        <v>438</v>
      </c>
      <c r="B27" s="8" t="s">
        <v>439</v>
      </c>
    </row>
    <row r="28" spans="1:2">
      <c r="A28" s="47" t="s">
        <v>440</v>
      </c>
      <c r="B28" s="47" t="s">
        <v>441</v>
      </c>
    </row>
    <row r="29" spans="1:2">
      <c r="A29" s="8" t="s">
        <v>442</v>
      </c>
      <c r="B29" s="8" t="s">
        <v>443</v>
      </c>
    </row>
    <row r="30" spans="1:2" ht="30">
      <c r="A30" s="8" t="s">
        <v>444</v>
      </c>
      <c r="B30" s="8" t="s">
        <v>445</v>
      </c>
    </row>
    <row r="31" spans="1:2">
      <c r="A31" s="48" t="s">
        <v>446</v>
      </c>
      <c r="B31" s="8" t="s">
        <v>447</v>
      </c>
    </row>
    <row r="32" spans="1:2">
      <c r="A32" s="8" t="s">
        <v>448</v>
      </c>
      <c r="B32" s="8" t="s">
        <v>449</v>
      </c>
    </row>
    <row r="33" spans="1:2">
      <c r="A33" s="47" t="s">
        <v>348</v>
      </c>
      <c r="B33" s="47" t="s">
        <v>349</v>
      </c>
    </row>
    <row r="34" spans="1:2">
      <c r="A34" s="8" t="s">
        <v>450</v>
      </c>
      <c r="B34" s="8" t="s">
        <v>451</v>
      </c>
    </row>
    <row r="35" spans="1:2">
      <c r="A35" s="8" t="s">
        <v>452</v>
      </c>
      <c r="B35" s="8" t="s">
        <v>453</v>
      </c>
    </row>
    <row r="36" spans="1:2">
      <c r="A36" s="8" t="s">
        <v>454</v>
      </c>
      <c r="B36" s="8" t="s">
        <v>455</v>
      </c>
    </row>
    <row r="37" spans="1:2">
      <c r="A37" s="8" t="s">
        <v>456</v>
      </c>
      <c r="B37" s="8" t="s">
        <v>457</v>
      </c>
    </row>
    <row r="38" spans="1:2">
      <c r="A38" s="8" t="s">
        <v>458</v>
      </c>
      <c r="B38" s="8" t="s">
        <v>459</v>
      </c>
    </row>
    <row r="39" spans="1:2">
      <c r="A39" s="47" t="s">
        <v>460</v>
      </c>
      <c r="B39" s="47" t="s">
        <v>461</v>
      </c>
    </row>
    <row r="40" spans="1:2">
      <c r="A40" s="8" t="s">
        <v>462</v>
      </c>
      <c r="B40" s="8" t="s">
        <v>463</v>
      </c>
    </row>
    <row r="41" spans="1:2">
      <c r="A41" s="67" t="s">
        <v>464</v>
      </c>
      <c r="B41" s="8" t="s">
        <v>465</v>
      </c>
    </row>
    <row r="43" spans="1:2">
      <c r="A43" s="232" t="s">
        <v>466</v>
      </c>
      <c r="B43" s="232"/>
    </row>
    <row r="44" spans="1:2">
      <c r="A44" s="46" t="s">
        <v>17</v>
      </c>
      <c r="B44" s="8" t="s">
        <v>467</v>
      </c>
    </row>
    <row r="45" spans="1:2">
      <c r="A45" s="46" t="s">
        <v>106</v>
      </c>
      <c r="B45" s="8" t="s">
        <v>468</v>
      </c>
    </row>
    <row r="46" spans="1:2">
      <c r="A46" s="8" t="s">
        <v>107</v>
      </c>
      <c r="B46" s="8" t="s">
        <v>107</v>
      </c>
    </row>
    <row r="47" spans="1:2">
      <c r="A47" s="46" t="s">
        <v>469</v>
      </c>
      <c r="B47" s="8" t="s">
        <v>470</v>
      </c>
    </row>
    <row r="48" spans="1:2">
      <c r="A48" s="46" t="s">
        <v>471</v>
      </c>
      <c r="B48" s="8" t="s">
        <v>471</v>
      </c>
    </row>
    <row r="49" spans="1:2">
      <c r="A49" s="46" t="s">
        <v>472</v>
      </c>
      <c r="B49" s="8" t="s">
        <v>473</v>
      </c>
    </row>
    <row r="52" spans="1:2">
      <c r="A52" s="46" t="s">
        <v>63</v>
      </c>
      <c r="B52" s="8" t="s">
        <v>474</v>
      </c>
    </row>
    <row r="53" spans="1:2">
      <c r="A53" s="46" t="s">
        <v>70</v>
      </c>
      <c r="B53" s="8" t="s">
        <v>475</v>
      </c>
    </row>
    <row r="54" spans="1:2">
      <c r="A54" s="46" t="s">
        <v>47</v>
      </c>
      <c r="B54" s="8" t="s">
        <v>476</v>
      </c>
    </row>
    <row r="55" spans="1:2">
      <c r="A55" s="46" t="s">
        <v>42</v>
      </c>
      <c r="B55" s="8" t="s">
        <v>477</v>
      </c>
    </row>
    <row r="57" spans="1:2">
      <c r="A57" s="8"/>
      <c r="B57"/>
    </row>
    <row r="58" spans="1:2">
      <c r="A58" s="8"/>
      <c r="B58"/>
    </row>
    <row r="59" spans="1:2">
      <c r="A59" s="8"/>
      <c r="B59"/>
    </row>
  </sheetData>
  <mergeCells count="1">
    <mergeCell ref="A43:B43"/>
  </mergeCells>
  <pageMargins left="0.7" right="0.7" top="0.75" bottom="0.75" header="0.3" footer="0.3"/>
  <pageSetup paperSize="161"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13F91-0156-4697-A407-15A7D4965C1A}">
  <sheetPr codeName="Sheet19">
    <tabColor rgb="FFC00000"/>
  </sheetPr>
  <dimension ref="A1:AI52"/>
  <sheetViews>
    <sheetView workbookViewId="0"/>
  </sheetViews>
  <sheetFormatPr defaultColWidth="11.42578125" defaultRowHeight="15"/>
  <cols>
    <col min="1" max="1" width="22.42578125" style="9" customWidth="1"/>
    <col min="2" max="2" width="27.42578125" style="10" customWidth="1"/>
    <col min="3" max="3" width="15" customWidth="1"/>
    <col min="4" max="4" width="12.5703125" customWidth="1"/>
    <col min="5" max="5" width="20.5703125" bestFit="1" customWidth="1"/>
    <col min="6" max="6" width="22.42578125" customWidth="1"/>
    <col min="7" max="7" width="28.42578125" customWidth="1"/>
    <col min="8" max="8" width="18.42578125" customWidth="1"/>
    <col min="9" max="9" width="12.42578125" customWidth="1"/>
    <col min="10" max="10" width="11.5703125" customWidth="1"/>
    <col min="11" max="11" width="12" customWidth="1"/>
    <col min="12" max="12" width="31.5703125" customWidth="1"/>
    <col min="13" max="13" width="19.42578125" customWidth="1"/>
    <col min="14" max="14" width="17.5703125" customWidth="1"/>
    <col min="15" max="15" width="39.5703125" customWidth="1"/>
    <col min="16" max="16" width="23.42578125" customWidth="1"/>
    <col min="17" max="17" width="30.42578125" bestFit="1" customWidth="1"/>
    <col min="18" max="18" width="15.42578125" customWidth="1"/>
    <col min="19" max="19" width="12.42578125" customWidth="1"/>
    <col min="20" max="20" width="35.5703125" customWidth="1"/>
    <col min="21" max="21" width="21.5703125" bestFit="1" customWidth="1"/>
    <col min="22" max="22" width="20.5703125" customWidth="1"/>
    <col min="23" max="23" width="18.5703125" customWidth="1"/>
    <col min="27" max="27" width="30.5703125" customWidth="1"/>
    <col min="28" max="28" width="12.5703125" bestFit="1" customWidth="1"/>
    <col min="29" max="29" width="24.42578125" bestFit="1" customWidth="1"/>
    <col min="30" max="30" width="23.42578125" customWidth="1"/>
    <col min="32" max="32" width="26.5703125" bestFit="1" customWidth="1"/>
    <col min="33" max="33" width="18.5703125" customWidth="1"/>
    <col min="34" max="34" width="15.5703125" customWidth="1"/>
    <col min="35" max="35" width="17.42578125" customWidth="1"/>
  </cols>
  <sheetData>
    <row r="1" spans="1:35">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row>
    <row r="2" spans="1:35" ht="23.25">
      <c r="A2" s="233" t="s">
        <v>478</v>
      </c>
      <c r="B2" s="233"/>
      <c r="C2" s="10"/>
      <c r="D2" s="10"/>
      <c r="E2" s="10"/>
      <c r="F2" s="10"/>
      <c r="G2" s="10"/>
      <c r="H2" s="10"/>
      <c r="I2" s="10"/>
      <c r="J2" s="10"/>
      <c r="K2" s="10"/>
      <c r="N2" s="10"/>
      <c r="O2" s="233" t="s">
        <v>478</v>
      </c>
      <c r="P2" s="233"/>
      <c r="Q2" s="10"/>
      <c r="R2" s="10"/>
      <c r="S2" s="10"/>
      <c r="T2" s="10"/>
      <c r="U2" s="10"/>
      <c r="V2" s="10"/>
      <c r="W2" s="10"/>
      <c r="X2" s="10"/>
      <c r="Y2" s="10"/>
      <c r="Z2" s="10"/>
      <c r="AA2" s="10"/>
      <c r="AB2" s="10"/>
      <c r="AC2" s="10"/>
      <c r="AD2" s="10"/>
      <c r="AE2" s="10"/>
      <c r="AF2" s="10"/>
    </row>
    <row r="3" spans="1:35">
      <c r="A3" s="234" t="s">
        <v>479</v>
      </c>
      <c r="B3" s="234"/>
      <c r="C3" s="10"/>
      <c r="D3" s="10"/>
      <c r="E3" s="10"/>
      <c r="F3" s="10"/>
      <c r="G3" s="10"/>
      <c r="H3" s="10"/>
      <c r="I3" s="10"/>
      <c r="J3" s="10"/>
      <c r="K3" s="10"/>
      <c r="N3" s="10"/>
      <c r="O3" s="234" t="s">
        <v>480</v>
      </c>
      <c r="P3" s="234"/>
      <c r="Q3" s="10"/>
      <c r="R3" s="10"/>
      <c r="S3" s="10"/>
      <c r="T3" s="10"/>
      <c r="U3" s="10"/>
      <c r="V3" s="10"/>
      <c r="W3" s="10"/>
      <c r="X3" s="10"/>
      <c r="Y3" s="10"/>
      <c r="Z3" s="10"/>
      <c r="AA3" s="10"/>
      <c r="AB3" s="10"/>
      <c r="AC3" s="10"/>
      <c r="AD3" s="10"/>
      <c r="AE3" s="10"/>
      <c r="AF3" s="10"/>
    </row>
    <row r="4" spans="1:35">
      <c r="A4" s="12" t="s">
        <v>481</v>
      </c>
      <c r="B4" s="12" t="s">
        <v>481</v>
      </c>
      <c r="C4" s="10"/>
      <c r="D4" s="10"/>
      <c r="E4" s="10"/>
      <c r="F4" s="10"/>
      <c r="G4" s="10"/>
      <c r="H4" s="10"/>
      <c r="I4" s="10"/>
      <c r="J4" s="10"/>
      <c r="K4" s="10"/>
      <c r="N4" s="10"/>
      <c r="O4" s="12" t="s">
        <v>482</v>
      </c>
      <c r="P4" s="12" t="s">
        <v>483</v>
      </c>
      <c r="Q4" s="10"/>
      <c r="R4" s="10"/>
      <c r="S4" s="10"/>
      <c r="T4" s="10"/>
      <c r="U4" s="10"/>
      <c r="V4" s="10"/>
      <c r="W4" s="10"/>
      <c r="X4" s="10"/>
      <c r="Y4" s="10"/>
      <c r="Z4" s="10"/>
      <c r="AA4" s="10"/>
      <c r="AB4" s="10"/>
      <c r="AC4" s="10"/>
      <c r="AD4" s="10"/>
      <c r="AE4" s="10"/>
      <c r="AF4" s="10"/>
    </row>
    <row r="5" spans="1:35">
      <c r="A5" s="13" t="s">
        <v>484</v>
      </c>
      <c r="B5" s="13" t="s">
        <v>485</v>
      </c>
      <c r="C5" s="10"/>
      <c r="D5" s="10"/>
      <c r="E5" s="10"/>
      <c r="F5" s="10"/>
      <c r="G5" s="10"/>
      <c r="H5" s="10"/>
      <c r="I5" s="10"/>
      <c r="J5" s="10"/>
      <c r="K5" s="10"/>
      <c r="N5" s="10"/>
      <c r="O5" s="13" t="s">
        <v>486</v>
      </c>
      <c r="P5" s="13" t="s">
        <v>487</v>
      </c>
      <c r="Q5" s="10"/>
      <c r="R5" s="10"/>
      <c r="S5" s="10"/>
      <c r="T5" s="10"/>
      <c r="U5" s="10"/>
      <c r="V5" s="10"/>
      <c r="W5" s="10"/>
      <c r="X5" s="10"/>
      <c r="Y5" s="10"/>
      <c r="Z5" s="10"/>
      <c r="AA5" s="10"/>
      <c r="AB5" s="10"/>
      <c r="AC5" s="10"/>
      <c r="AD5" s="10"/>
      <c r="AE5" s="10"/>
      <c r="AF5" s="10"/>
    </row>
    <row r="6" spans="1:35">
      <c r="A6" s="14" t="s">
        <v>49</v>
      </c>
      <c r="B6" s="15" t="s">
        <v>488</v>
      </c>
      <c r="C6" s="10"/>
      <c r="D6" s="10"/>
      <c r="E6" s="10"/>
      <c r="F6" s="10"/>
      <c r="G6" s="10"/>
      <c r="H6" s="10"/>
      <c r="I6" s="10"/>
      <c r="J6" s="10"/>
      <c r="K6" s="10"/>
      <c r="N6" s="10"/>
      <c r="O6" s="14" t="s">
        <v>489</v>
      </c>
      <c r="P6" s="15" t="s">
        <v>490</v>
      </c>
      <c r="Q6" s="10"/>
      <c r="R6" s="10"/>
      <c r="S6" s="10"/>
      <c r="T6" s="10"/>
      <c r="U6" s="10"/>
      <c r="V6" s="10"/>
      <c r="W6" s="10"/>
      <c r="X6" s="10"/>
      <c r="Y6" s="10"/>
      <c r="Z6" s="10"/>
      <c r="AA6" s="10"/>
      <c r="AB6" s="10"/>
      <c r="AC6" s="10"/>
      <c r="AD6" s="10"/>
      <c r="AE6" s="10"/>
      <c r="AF6" s="10"/>
    </row>
    <row r="7" spans="1:35">
      <c r="A7" s="16" t="s">
        <v>38</v>
      </c>
      <c r="B7" s="17" t="s">
        <v>38</v>
      </c>
      <c r="C7" s="10"/>
      <c r="D7" s="10"/>
      <c r="E7" s="10"/>
      <c r="F7" s="10"/>
      <c r="G7" s="10"/>
      <c r="H7" s="10"/>
      <c r="I7" s="10"/>
      <c r="J7" s="10"/>
      <c r="K7" s="10"/>
      <c r="N7" s="10"/>
      <c r="O7" s="16" t="s">
        <v>491</v>
      </c>
      <c r="P7" s="17" t="s">
        <v>492</v>
      </c>
      <c r="Q7" s="10"/>
      <c r="R7" s="10"/>
      <c r="S7" s="10"/>
      <c r="T7" s="10"/>
      <c r="U7" s="10"/>
      <c r="V7" s="10"/>
      <c r="W7" s="10"/>
      <c r="X7" s="10"/>
      <c r="Y7" s="10"/>
      <c r="Z7" s="10"/>
      <c r="AA7" s="10"/>
      <c r="AB7" s="10"/>
      <c r="AC7" s="10"/>
      <c r="AD7" s="10"/>
      <c r="AE7" s="10"/>
      <c r="AF7" s="10"/>
    </row>
    <row r="8" spans="1:35">
      <c r="C8" s="10"/>
      <c r="D8" s="10"/>
      <c r="E8" s="10"/>
      <c r="F8" s="10"/>
      <c r="G8" s="10"/>
      <c r="H8" s="10"/>
      <c r="I8" s="10"/>
      <c r="J8" s="10"/>
      <c r="K8" s="10"/>
      <c r="N8" s="10"/>
      <c r="O8" s="9"/>
      <c r="P8" s="10"/>
      <c r="Q8" s="10"/>
      <c r="R8" s="10"/>
      <c r="S8" s="10"/>
      <c r="T8" s="10"/>
      <c r="U8" s="10"/>
      <c r="V8" s="10"/>
      <c r="W8" s="10"/>
      <c r="X8" s="10"/>
      <c r="Y8" s="10"/>
      <c r="Z8" s="10"/>
      <c r="AA8" s="10"/>
      <c r="AB8" s="10"/>
      <c r="AC8" s="10"/>
      <c r="AD8" s="10"/>
      <c r="AE8" s="10"/>
      <c r="AF8" s="10"/>
    </row>
    <row r="9" spans="1:35">
      <c r="A9" s="234" t="s">
        <v>387</v>
      </c>
      <c r="B9" s="234"/>
      <c r="C9" s="10"/>
      <c r="D9" s="10"/>
      <c r="E9" s="10"/>
      <c r="F9" s="10"/>
      <c r="G9" s="10"/>
      <c r="H9" s="10"/>
      <c r="I9" s="10"/>
      <c r="J9" s="10"/>
      <c r="K9" s="10"/>
      <c r="N9" s="10"/>
      <c r="O9" s="234" t="s">
        <v>493</v>
      </c>
      <c r="P9" s="234"/>
      <c r="Q9" s="10"/>
      <c r="R9" s="10"/>
      <c r="S9" s="10"/>
      <c r="T9" s="10"/>
      <c r="U9" s="10"/>
      <c r="V9" s="10"/>
      <c r="W9" s="10"/>
      <c r="X9" s="10"/>
      <c r="Y9" s="10"/>
      <c r="Z9" s="10"/>
      <c r="AA9" s="10"/>
      <c r="AB9" s="10"/>
      <c r="AC9" s="10"/>
      <c r="AD9" s="10"/>
      <c r="AE9" s="10"/>
      <c r="AF9" s="10"/>
    </row>
    <row r="10" spans="1:35">
      <c r="A10" s="12" t="s">
        <v>494</v>
      </c>
      <c r="B10" s="12" t="s">
        <v>495</v>
      </c>
      <c r="C10" s="10"/>
      <c r="D10" s="10"/>
      <c r="E10" s="10"/>
      <c r="F10" s="10"/>
      <c r="G10" s="10"/>
      <c r="H10" s="10"/>
      <c r="I10" s="10"/>
      <c r="J10" s="10"/>
      <c r="K10" s="10"/>
      <c r="N10" s="10"/>
      <c r="O10" s="12" t="s">
        <v>496</v>
      </c>
      <c r="P10" s="12" t="s">
        <v>497</v>
      </c>
      <c r="Q10" s="10"/>
      <c r="R10" s="10"/>
      <c r="S10" s="10"/>
      <c r="T10" s="10"/>
      <c r="U10" s="10"/>
      <c r="V10" s="10"/>
      <c r="W10" s="10"/>
      <c r="X10" s="10"/>
      <c r="Y10" s="10"/>
      <c r="Z10" s="10"/>
      <c r="AA10" s="10"/>
      <c r="AB10" s="10"/>
      <c r="AC10" s="10"/>
      <c r="AD10" s="10"/>
      <c r="AE10" s="10"/>
      <c r="AF10" s="10"/>
    </row>
    <row r="11" spans="1:35">
      <c r="A11" s="13" t="s">
        <v>74</v>
      </c>
      <c r="B11" s="13" t="s">
        <v>498</v>
      </c>
      <c r="C11" s="10"/>
      <c r="D11" s="10"/>
      <c r="E11" s="10"/>
      <c r="F11" s="10"/>
      <c r="G11" s="10"/>
      <c r="H11" s="10"/>
      <c r="I11" s="10"/>
      <c r="J11" s="10"/>
      <c r="K11" s="10"/>
      <c r="N11" s="10"/>
      <c r="O11" s="13" t="s">
        <v>499</v>
      </c>
      <c r="P11" s="13" t="s">
        <v>500</v>
      </c>
      <c r="Q11" s="10"/>
      <c r="R11" s="10"/>
      <c r="S11" s="10"/>
      <c r="T11" s="10"/>
      <c r="U11" s="10"/>
      <c r="V11" s="10"/>
      <c r="W11" s="10"/>
      <c r="X11" s="10"/>
      <c r="Y11" s="10"/>
      <c r="Z11" s="10"/>
      <c r="AA11" s="10"/>
      <c r="AB11" s="10"/>
      <c r="AC11" s="10"/>
      <c r="AD11" s="10"/>
      <c r="AE11" s="10"/>
      <c r="AF11" s="10"/>
    </row>
    <row r="12" spans="1:35">
      <c r="A12" s="14" t="s">
        <v>57</v>
      </c>
      <c r="B12" s="14" t="s">
        <v>501</v>
      </c>
      <c r="C12" s="10"/>
      <c r="D12" s="10"/>
      <c r="E12" s="10"/>
      <c r="F12" s="10"/>
      <c r="G12" s="10"/>
      <c r="H12" s="10"/>
      <c r="I12" s="10"/>
      <c r="J12" s="10"/>
      <c r="K12" s="10"/>
      <c r="N12" s="10"/>
      <c r="O12" s="14" t="s">
        <v>502</v>
      </c>
      <c r="P12" s="14" t="s">
        <v>503</v>
      </c>
      <c r="Q12" s="10"/>
      <c r="R12" s="10"/>
      <c r="S12" s="10"/>
      <c r="T12" s="10"/>
      <c r="U12" s="10"/>
      <c r="V12" s="10"/>
      <c r="W12" s="10"/>
      <c r="X12" s="10"/>
      <c r="Y12" s="10"/>
      <c r="Z12" s="10"/>
      <c r="AA12" s="10"/>
      <c r="AB12" s="10"/>
      <c r="AC12" s="10"/>
      <c r="AD12" s="10"/>
      <c r="AE12" s="10"/>
      <c r="AF12" s="10"/>
    </row>
    <row r="13" spans="1:35">
      <c r="A13" s="16" t="s">
        <v>40</v>
      </c>
      <c r="B13" s="16" t="s">
        <v>504</v>
      </c>
      <c r="C13" s="10"/>
      <c r="D13" s="10"/>
      <c r="E13" s="10"/>
      <c r="F13" s="10"/>
      <c r="G13" s="10"/>
      <c r="H13" s="10"/>
      <c r="I13" s="10"/>
      <c r="J13" s="10"/>
      <c r="K13" s="10"/>
      <c r="N13" s="10"/>
      <c r="O13" s="50"/>
      <c r="P13" s="50"/>
      <c r="Q13" s="10"/>
      <c r="R13" s="10"/>
      <c r="S13" s="10"/>
      <c r="T13" s="10"/>
      <c r="U13" s="10"/>
      <c r="V13" s="10"/>
      <c r="W13" s="10"/>
      <c r="X13" s="10"/>
      <c r="Y13" s="10"/>
      <c r="Z13" s="10"/>
      <c r="AA13" s="10"/>
      <c r="AB13" s="10"/>
      <c r="AC13" s="10"/>
      <c r="AD13" s="10"/>
      <c r="AE13" s="10"/>
      <c r="AF13" s="10"/>
    </row>
    <row r="14" spans="1:35">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10"/>
    </row>
    <row r="15" spans="1:35">
      <c r="A15" s="234" t="s">
        <v>505</v>
      </c>
      <c r="B15" s="234"/>
      <c r="C15" s="234"/>
      <c r="D15" s="234"/>
      <c r="E15" s="234"/>
      <c r="F15" s="234"/>
      <c r="G15" s="234"/>
      <c r="H15" s="234"/>
      <c r="I15" s="234"/>
      <c r="J15" s="234"/>
      <c r="K15" s="234"/>
      <c r="L15" s="10"/>
      <c r="M15" s="10"/>
      <c r="N15" s="10"/>
      <c r="O15" s="234" t="s">
        <v>506</v>
      </c>
      <c r="P15" s="234"/>
      <c r="Q15" s="234"/>
      <c r="R15" s="234"/>
      <c r="S15" s="234"/>
      <c r="T15" s="234"/>
      <c r="U15" s="234"/>
      <c r="V15" s="234"/>
      <c r="W15" s="234"/>
      <c r="X15" s="10"/>
      <c r="Y15" s="10"/>
      <c r="Z15" s="10"/>
      <c r="AA15" s="234" t="s">
        <v>507</v>
      </c>
      <c r="AB15" s="234"/>
      <c r="AC15" s="234"/>
      <c r="AD15" s="234"/>
      <c r="AE15" s="234"/>
      <c r="AF15" s="234"/>
      <c r="AG15" s="234"/>
      <c r="AH15" s="234"/>
      <c r="AI15" s="234"/>
    </row>
    <row r="16" spans="1:35" ht="30">
      <c r="A16" s="7" t="s">
        <v>508</v>
      </c>
      <c r="B16" s="18" t="s">
        <v>494</v>
      </c>
      <c r="C16" s="19" t="s">
        <v>74</v>
      </c>
      <c r="D16" s="20" t="s">
        <v>57</v>
      </c>
      <c r="E16" s="21" t="s">
        <v>40</v>
      </c>
      <c r="F16" s="10"/>
      <c r="G16" s="22" t="s">
        <v>508</v>
      </c>
      <c r="H16" s="23" t="s">
        <v>495</v>
      </c>
      <c r="I16" s="24" t="s">
        <v>498</v>
      </c>
      <c r="J16" s="25" t="s">
        <v>501</v>
      </c>
      <c r="K16" s="26" t="s">
        <v>504</v>
      </c>
      <c r="L16" s="10"/>
      <c r="M16" s="10"/>
      <c r="N16" s="10"/>
      <c r="O16" s="7" t="s">
        <v>509</v>
      </c>
      <c r="P16" s="18" t="s">
        <v>61</v>
      </c>
      <c r="Q16" s="19" t="s">
        <v>45</v>
      </c>
      <c r="R16" s="20" t="s">
        <v>78</v>
      </c>
      <c r="S16" s="10"/>
      <c r="T16" s="22" t="s">
        <v>510</v>
      </c>
      <c r="U16" s="18" t="s">
        <v>511</v>
      </c>
      <c r="V16" s="19" t="s">
        <v>512</v>
      </c>
      <c r="W16" s="20" t="s">
        <v>513</v>
      </c>
      <c r="X16" s="10"/>
      <c r="Y16" s="10"/>
      <c r="Z16" s="10"/>
      <c r="AA16" s="7" t="s">
        <v>514</v>
      </c>
      <c r="AB16" s="18" t="s">
        <v>496</v>
      </c>
      <c r="AC16" s="19" t="s">
        <v>499</v>
      </c>
      <c r="AD16" s="20" t="s">
        <v>515</v>
      </c>
      <c r="AE16" s="10"/>
      <c r="AF16" s="22" t="s">
        <v>516</v>
      </c>
      <c r="AG16" s="23" t="s">
        <v>497</v>
      </c>
      <c r="AH16" s="24" t="s">
        <v>500</v>
      </c>
      <c r="AI16" s="25" t="s">
        <v>517</v>
      </c>
    </row>
    <row r="17" spans="1:35">
      <c r="A17" s="21" t="s">
        <v>38</v>
      </c>
      <c r="B17" s="11" t="s">
        <v>518</v>
      </c>
      <c r="C17" s="27" t="s">
        <v>519</v>
      </c>
      <c r="D17" s="28" t="s">
        <v>520</v>
      </c>
      <c r="E17" s="28" t="s">
        <v>520</v>
      </c>
      <c r="F17" s="10"/>
      <c r="G17" s="29" t="s">
        <v>38</v>
      </c>
      <c r="H17" s="30" t="s">
        <v>521</v>
      </c>
      <c r="I17" s="27" t="s">
        <v>522</v>
      </c>
      <c r="J17" s="28" t="s">
        <v>523</v>
      </c>
      <c r="K17" s="28" t="s">
        <v>523</v>
      </c>
      <c r="L17" s="10"/>
      <c r="M17" s="10"/>
      <c r="N17" s="10"/>
      <c r="O17" s="21" t="s">
        <v>520</v>
      </c>
      <c r="P17" s="11" t="s">
        <v>518</v>
      </c>
      <c r="Q17" s="27" t="s">
        <v>519</v>
      </c>
      <c r="R17" s="28" t="s">
        <v>520</v>
      </c>
      <c r="S17" s="10"/>
      <c r="T17" s="29" t="s">
        <v>524</v>
      </c>
      <c r="U17" s="30" t="s">
        <v>521</v>
      </c>
      <c r="V17" s="27" t="s">
        <v>522</v>
      </c>
      <c r="W17" s="28" t="s">
        <v>523</v>
      </c>
      <c r="X17" s="10"/>
      <c r="Y17" s="10"/>
      <c r="Z17" s="10"/>
      <c r="AA17" s="21" t="s">
        <v>520</v>
      </c>
      <c r="AB17" s="27" t="s">
        <v>519</v>
      </c>
      <c r="AC17" s="28" t="s">
        <v>520</v>
      </c>
      <c r="AD17" s="28" t="s">
        <v>520</v>
      </c>
      <c r="AE17" s="10"/>
      <c r="AF17" s="29" t="s">
        <v>524</v>
      </c>
      <c r="AG17" s="27" t="s">
        <v>522</v>
      </c>
      <c r="AH17" s="28" t="s">
        <v>523</v>
      </c>
      <c r="AI17" s="28" t="s">
        <v>523</v>
      </c>
    </row>
    <row r="18" spans="1:35">
      <c r="A18" s="20" t="s">
        <v>49</v>
      </c>
      <c r="B18" s="11" t="s">
        <v>518</v>
      </c>
      <c r="C18" s="27" t="s">
        <v>519</v>
      </c>
      <c r="D18" s="27" t="s">
        <v>519</v>
      </c>
      <c r="E18" s="28" t="s">
        <v>520</v>
      </c>
      <c r="F18" s="10"/>
      <c r="G18" s="31" t="s">
        <v>488</v>
      </c>
      <c r="H18" s="30" t="s">
        <v>521</v>
      </c>
      <c r="I18" s="27" t="s">
        <v>522</v>
      </c>
      <c r="J18" s="27" t="s">
        <v>522</v>
      </c>
      <c r="K18" s="28" t="s">
        <v>523</v>
      </c>
      <c r="L18" s="10"/>
      <c r="M18" s="10"/>
      <c r="N18" s="10"/>
      <c r="O18" s="20" t="s">
        <v>519</v>
      </c>
      <c r="P18" s="34" t="s">
        <v>525</v>
      </c>
      <c r="Q18" s="30" t="s">
        <v>518</v>
      </c>
      <c r="R18" s="27" t="s">
        <v>519</v>
      </c>
      <c r="S18" s="10"/>
      <c r="T18" s="31" t="s">
        <v>522</v>
      </c>
      <c r="U18" s="64" t="s">
        <v>526</v>
      </c>
      <c r="V18" s="30" t="s">
        <v>521</v>
      </c>
      <c r="W18" s="27" t="s">
        <v>522</v>
      </c>
      <c r="X18" s="10"/>
      <c r="Y18" s="10"/>
      <c r="Z18" s="10"/>
      <c r="AA18" s="20" t="s">
        <v>519</v>
      </c>
      <c r="AB18" s="11" t="s">
        <v>518</v>
      </c>
      <c r="AC18" s="27" t="s">
        <v>519</v>
      </c>
      <c r="AD18" s="28" t="s">
        <v>520</v>
      </c>
      <c r="AE18" s="10"/>
      <c r="AF18" s="31" t="s">
        <v>522</v>
      </c>
      <c r="AG18" s="30" t="s">
        <v>521</v>
      </c>
      <c r="AH18" s="27" t="s">
        <v>522</v>
      </c>
      <c r="AI18" s="28" t="s">
        <v>523</v>
      </c>
    </row>
    <row r="19" spans="1:35">
      <c r="A19" s="19" t="s">
        <v>484</v>
      </c>
      <c r="B19" s="32" t="s">
        <v>525</v>
      </c>
      <c r="C19" s="11" t="s">
        <v>518</v>
      </c>
      <c r="D19" s="27" t="s">
        <v>519</v>
      </c>
      <c r="E19" s="27" t="s">
        <v>519</v>
      </c>
      <c r="F19" s="10"/>
      <c r="G19" s="33" t="s">
        <v>485</v>
      </c>
      <c r="H19" s="34" t="s">
        <v>526</v>
      </c>
      <c r="I19" s="30" t="s">
        <v>521</v>
      </c>
      <c r="J19" s="27" t="s">
        <v>522</v>
      </c>
      <c r="K19" s="27" t="s">
        <v>522</v>
      </c>
      <c r="L19" s="10"/>
      <c r="M19" s="10"/>
      <c r="N19" s="10"/>
      <c r="O19" s="19" t="s">
        <v>518</v>
      </c>
      <c r="P19" s="34" t="s">
        <v>525</v>
      </c>
      <c r="Q19" s="34" t="s">
        <v>525</v>
      </c>
      <c r="R19" s="30" t="s">
        <v>518</v>
      </c>
      <c r="S19" s="10"/>
      <c r="T19" s="33" t="s">
        <v>521</v>
      </c>
      <c r="U19" s="64" t="s">
        <v>526</v>
      </c>
      <c r="V19" s="64" t="s">
        <v>526</v>
      </c>
      <c r="W19" s="30" t="s">
        <v>527</v>
      </c>
      <c r="X19" s="10"/>
      <c r="Y19" s="10"/>
      <c r="Z19" s="10"/>
      <c r="AA19" s="19" t="s">
        <v>518</v>
      </c>
      <c r="AB19" s="18" t="s">
        <v>525</v>
      </c>
      <c r="AC19" s="30" t="s">
        <v>518</v>
      </c>
      <c r="AD19" s="27" t="s">
        <v>519</v>
      </c>
      <c r="AE19" s="10"/>
      <c r="AF19" s="33" t="s">
        <v>521</v>
      </c>
      <c r="AG19" s="35" t="s">
        <v>526</v>
      </c>
      <c r="AH19" s="30" t="s">
        <v>521</v>
      </c>
      <c r="AI19" s="27" t="s">
        <v>528</v>
      </c>
    </row>
    <row r="20" spans="1:35">
      <c r="A20" s="18" t="s">
        <v>481</v>
      </c>
      <c r="B20" s="32" t="s">
        <v>525</v>
      </c>
      <c r="C20" s="32" t="s">
        <v>525</v>
      </c>
      <c r="D20" s="11" t="s">
        <v>518</v>
      </c>
      <c r="E20" s="11" t="s">
        <v>518</v>
      </c>
      <c r="F20" s="10"/>
      <c r="G20" s="35" t="s">
        <v>481</v>
      </c>
      <c r="H20" s="34" t="s">
        <v>526</v>
      </c>
      <c r="I20" s="34" t="s">
        <v>526</v>
      </c>
      <c r="J20" s="30" t="s">
        <v>521</v>
      </c>
      <c r="K20" s="30" t="s">
        <v>521</v>
      </c>
      <c r="L20" s="10"/>
      <c r="M20" s="10"/>
      <c r="N20" s="10"/>
      <c r="O20" s="18" t="s">
        <v>525</v>
      </c>
      <c r="P20" s="34" t="s">
        <v>525</v>
      </c>
      <c r="Q20" s="34" t="s">
        <v>525</v>
      </c>
      <c r="R20" s="34" t="s">
        <v>525</v>
      </c>
      <c r="S20" s="10"/>
      <c r="T20" s="35" t="s">
        <v>526</v>
      </c>
      <c r="U20" s="64" t="s">
        <v>526</v>
      </c>
      <c r="V20" s="64" t="s">
        <v>526</v>
      </c>
      <c r="W20" s="64" t="s">
        <v>526</v>
      </c>
      <c r="X20" s="10"/>
      <c r="Y20" s="10"/>
      <c r="Z20" s="10"/>
      <c r="AA20" s="18" t="s">
        <v>525</v>
      </c>
      <c r="AB20" s="18" t="s">
        <v>525</v>
      </c>
      <c r="AC20" s="18" t="s">
        <v>525</v>
      </c>
      <c r="AD20" s="30" t="s">
        <v>518</v>
      </c>
      <c r="AE20" s="10"/>
      <c r="AF20" s="35" t="s">
        <v>526</v>
      </c>
      <c r="AG20" s="35" t="s">
        <v>526</v>
      </c>
      <c r="AH20" s="35" t="s">
        <v>526</v>
      </c>
      <c r="AI20" s="35" t="s">
        <v>526</v>
      </c>
    </row>
    <row r="21" spans="1:35">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row>
    <row r="22" spans="1:35">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row>
    <row r="23" spans="1:35">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row>
    <row r="24" spans="1:35">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row>
    <row r="25" spans="1:35">
      <c r="B25"/>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row>
    <row r="26" spans="1:35">
      <c r="B26"/>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row>
    <row r="27" spans="1:35">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row>
    <row r="28" spans="1:35">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row>
    <row r="29" spans="1:35">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row>
    <row r="30" spans="1:35">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row>
    <row r="31" spans="1:35">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row>
    <row r="32" spans="1:35">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row>
    <row r="33" spans="8:32">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row>
    <row r="34" spans="8:32">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row>
    <row r="35" spans="8:32">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row>
    <row r="36" spans="8:32">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row>
    <row r="37" spans="8:32">
      <c r="H37" s="10"/>
      <c r="I37" s="10"/>
      <c r="J37" s="10"/>
      <c r="K37" s="10"/>
      <c r="L37" s="10"/>
      <c r="M37" s="10"/>
      <c r="N37" s="10"/>
      <c r="O37" s="10"/>
      <c r="P37" s="10"/>
      <c r="Q37" s="10"/>
      <c r="R37" s="10"/>
      <c r="S37" s="10"/>
      <c r="T37" s="10"/>
      <c r="U37" s="10"/>
      <c r="V37" s="10"/>
      <c r="W37" s="10"/>
      <c r="X37" s="10"/>
      <c r="Y37" s="10"/>
      <c r="Z37" s="10"/>
      <c r="AA37" s="10"/>
      <c r="AB37" s="10"/>
      <c r="AC37" s="10"/>
      <c r="AD37" s="10"/>
      <c r="AE37" s="10"/>
      <c r="AF37" s="10"/>
    </row>
    <row r="38" spans="8:32">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row>
    <row r="39" spans="8:32">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row>
    <row r="40" spans="8:32">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row>
    <row r="41" spans="8:32">
      <c r="H41" s="10"/>
      <c r="I41" s="10"/>
      <c r="J41" s="10"/>
      <c r="K41" s="10"/>
      <c r="L41" s="10"/>
      <c r="M41" s="10"/>
      <c r="N41" s="10"/>
      <c r="O41" s="10"/>
      <c r="P41" s="10"/>
      <c r="Q41" s="10"/>
      <c r="R41" s="10"/>
      <c r="S41" s="10"/>
      <c r="T41" s="10"/>
      <c r="U41" s="10"/>
      <c r="V41" s="10"/>
      <c r="W41" s="10"/>
      <c r="X41" s="10"/>
      <c r="Y41" s="10"/>
      <c r="Z41" s="10"/>
      <c r="AA41" s="10"/>
      <c r="AB41" s="10"/>
      <c r="AC41" s="10"/>
      <c r="AD41" s="10"/>
      <c r="AE41" s="10"/>
      <c r="AF41" s="10"/>
    </row>
    <row r="42" spans="8:32">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row>
    <row r="43" spans="8:32">
      <c r="H43" s="10"/>
      <c r="I43" s="10"/>
      <c r="J43" s="10"/>
      <c r="K43" s="10"/>
      <c r="L43" s="10"/>
      <c r="M43" s="10"/>
      <c r="N43" s="10"/>
      <c r="O43" s="10"/>
      <c r="P43" s="10"/>
      <c r="Q43" s="10"/>
      <c r="R43" s="10"/>
      <c r="S43" s="10"/>
      <c r="T43" s="10"/>
      <c r="U43" s="10"/>
      <c r="V43" s="10"/>
      <c r="W43" s="10"/>
      <c r="X43" s="10"/>
      <c r="Y43" s="10"/>
      <c r="Z43" s="10"/>
      <c r="AA43" s="10"/>
      <c r="AB43" s="10"/>
      <c r="AC43" s="10"/>
      <c r="AD43" s="10"/>
      <c r="AE43" s="10"/>
      <c r="AF43" s="10"/>
    </row>
    <row r="44" spans="8:32">
      <c r="H44" s="10"/>
      <c r="I44" s="10"/>
      <c r="J44" s="10"/>
      <c r="K44" s="10"/>
      <c r="L44" s="10"/>
      <c r="M44" s="10"/>
      <c r="N44" s="10"/>
      <c r="O44" s="10"/>
      <c r="P44" s="10"/>
      <c r="Q44" s="10"/>
      <c r="R44" s="10"/>
      <c r="S44" s="10"/>
      <c r="T44" s="10"/>
      <c r="U44" s="10"/>
      <c r="V44" s="10"/>
      <c r="W44" s="10"/>
      <c r="X44" s="10"/>
      <c r="Y44" s="10"/>
      <c r="Z44" s="10"/>
      <c r="AA44" s="10"/>
      <c r="AB44" s="10"/>
      <c r="AC44" s="10"/>
      <c r="AD44" s="10"/>
      <c r="AE44" s="10"/>
      <c r="AF44" s="10"/>
    </row>
    <row r="45" spans="8:32">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row>
    <row r="46" spans="8:32">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row>
    <row r="47" spans="8:32">
      <c r="H47" s="10"/>
      <c r="I47" s="10"/>
      <c r="J47" s="10"/>
      <c r="K47" s="10"/>
      <c r="L47" s="10"/>
      <c r="M47" s="10"/>
      <c r="N47" s="10"/>
      <c r="O47" s="10"/>
      <c r="P47" s="10"/>
      <c r="Q47" s="10"/>
      <c r="R47" s="10"/>
      <c r="S47" s="10"/>
      <c r="T47" s="10"/>
      <c r="U47" s="10"/>
      <c r="V47" s="10"/>
      <c r="W47" s="10"/>
      <c r="X47" s="10"/>
      <c r="Y47" s="10"/>
      <c r="Z47" s="10"/>
      <c r="AA47" s="10"/>
      <c r="AB47" s="10"/>
      <c r="AC47" s="10"/>
      <c r="AD47" s="10"/>
      <c r="AE47" s="10"/>
      <c r="AF47" s="10"/>
    </row>
    <row r="48" spans="8:32">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row>
    <row r="49" spans="8:32">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row>
    <row r="50" spans="8:32">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row>
    <row r="51" spans="8:32">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row>
    <row r="52" spans="8:32">
      <c r="H52" s="10"/>
      <c r="I52" s="10"/>
      <c r="J52" s="10"/>
      <c r="K52" s="10"/>
      <c r="L52" s="10"/>
      <c r="M52" s="10"/>
      <c r="N52" s="10"/>
      <c r="O52" s="10"/>
      <c r="P52" s="10"/>
      <c r="Q52" s="10"/>
      <c r="R52" s="10"/>
      <c r="S52" s="10"/>
      <c r="T52" s="10"/>
      <c r="U52" s="10"/>
      <c r="V52" s="10"/>
      <c r="W52" s="10"/>
      <c r="X52" s="10"/>
      <c r="Y52" s="10"/>
      <c r="Z52" s="10"/>
      <c r="AA52" s="10"/>
      <c r="AB52" s="10"/>
      <c r="AC52" s="10"/>
      <c r="AD52" s="10"/>
      <c r="AE52" s="10"/>
      <c r="AF52" s="10"/>
    </row>
  </sheetData>
  <mergeCells count="9">
    <mergeCell ref="A2:B2"/>
    <mergeCell ref="A3:B3"/>
    <mergeCell ref="A9:B9"/>
    <mergeCell ref="A15:K15"/>
    <mergeCell ref="AA15:AI15"/>
    <mergeCell ref="O2:P2"/>
    <mergeCell ref="O3:P3"/>
    <mergeCell ref="O9:P9"/>
    <mergeCell ref="O15:W15"/>
  </mergeCells>
  <dataValidations count="1">
    <dataValidation type="list" allowBlank="1" showInputMessage="1" showErrorMessage="1" sqref="C22:D24 C27:D1048576 I56:P57 J53:Q55 J58:Q1048576 B25:C26" xr:uid="{09421F8C-8313-40DC-8478-F6ED9AD06AA4}">
      <formula1>#REF!</formula1>
    </dataValidation>
  </dataValidations>
  <pageMargins left="0.7" right="0.7" top="0.75" bottom="0.75" header="0.3" footer="0.3"/>
  <pageSetup paperSize="161"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270FC3-2DFF-4ED0-96B4-36A67198148E}">
  <sheetPr codeName="Sheet21">
    <tabColor rgb="FFC00000"/>
  </sheetPr>
  <dimension ref="A1:B24"/>
  <sheetViews>
    <sheetView workbookViewId="0"/>
  </sheetViews>
  <sheetFormatPr defaultColWidth="9.42578125" defaultRowHeight="15"/>
  <cols>
    <col min="1" max="1" width="23.5703125" bestFit="1" customWidth="1"/>
    <col min="2" max="2" width="19.5703125" bestFit="1" customWidth="1"/>
  </cols>
  <sheetData>
    <row r="1" spans="1:2">
      <c r="A1" t="s">
        <v>529</v>
      </c>
      <c r="B1" t="s">
        <v>529</v>
      </c>
    </row>
    <row r="2" spans="1:2">
      <c r="A2" t="s">
        <v>530</v>
      </c>
      <c r="B2" t="s">
        <v>531</v>
      </c>
    </row>
    <row r="3" spans="1:2">
      <c r="A3" t="s">
        <v>532</v>
      </c>
      <c r="B3" t="s">
        <v>533</v>
      </c>
    </row>
    <row r="4" spans="1:2">
      <c r="A4" t="s">
        <v>534</v>
      </c>
      <c r="B4" t="s">
        <v>535</v>
      </c>
    </row>
    <row r="5" spans="1:2">
      <c r="A5" t="s">
        <v>536</v>
      </c>
      <c r="B5" t="s">
        <v>537</v>
      </c>
    </row>
    <row r="6" spans="1:2">
      <c r="A6" t="s">
        <v>538</v>
      </c>
      <c r="B6" t="s">
        <v>539</v>
      </c>
    </row>
    <row r="10" spans="1:2">
      <c r="A10" t="s">
        <v>61</v>
      </c>
      <c r="B10" t="s">
        <v>511</v>
      </c>
    </row>
    <row r="11" spans="1:2">
      <c r="A11" t="s">
        <v>45</v>
      </c>
      <c r="B11" t="s">
        <v>512</v>
      </c>
    </row>
    <row r="12" spans="1:2">
      <c r="A12" t="s">
        <v>78</v>
      </c>
      <c r="B12" t="s">
        <v>513</v>
      </c>
    </row>
    <row r="14" spans="1:2">
      <c r="A14" t="s">
        <v>17</v>
      </c>
      <c r="B14" t="s">
        <v>467</v>
      </c>
    </row>
    <row r="15" spans="1:2">
      <c r="A15" t="s">
        <v>106</v>
      </c>
      <c r="B15" t="s">
        <v>468</v>
      </c>
    </row>
    <row r="16" spans="1:2">
      <c r="A16" t="s">
        <v>540</v>
      </c>
      <c r="B16" t="s">
        <v>541</v>
      </c>
    </row>
    <row r="18" spans="1:2">
      <c r="A18" t="s">
        <v>542</v>
      </c>
      <c r="B18" t="s">
        <v>543</v>
      </c>
    </row>
    <row r="19" spans="1:2">
      <c r="A19" t="s">
        <v>544</v>
      </c>
      <c r="B19" t="s">
        <v>544</v>
      </c>
    </row>
    <row r="21" spans="1:2">
      <c r="A21" t="s">
        <v>545</v>
      </c>
      <c r="B21" t="s">
        <v>546</v>
      </c>
    </row>
    <row r="22" spans="1:2">
      <c r="A22">
        <v>1</v>
      </c>
      <c r="B22">
        <v>1</v>
      </c>
    </row>
    <row r="23" spans="1:2">
      <c r="A23">
        <v>2</v>
      </c>
      <c r="B23">
        <v>0.75</v>
      </c>
    </row>
    <row r="24" spans="1:2">
      <c r="A24">
        <v>3</v>
      </c>
      <c r="B24">
        <v>0.5</v>
      </c>
    </row>
  </sheetData>
  <pageMargins left="0.7" right="0.7" top="0.75" bottom="0.75" header="0.3" footer="0.3"/>
  <pageSetup paperSize="161"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9500-55C1-4AC7-90A0-C5CBFA0508B0}">
  <sheetPr codeName="Sheet9">
    <tabColor rgb="FFC00000"/>
  </sheetPr>
  <dimension ref="A1:B5"/>
  <sheetViews>
    <sheetView workbookViewId="0"/>
  </sheetViews>
  <sheetFormatPr defaultColWidth="9.42578125" defaultRowHeight="15"/>
  <cols>
    <col min="1" max="1" width="13.5703125" bestFit="1" customWidth="1"/>
    <col min="2" max="2" width="11.7109375" bestFit="1" customWidth="1"/>
  </cols>
  <sheetData>
    <row r="1" spans="1:2" ht="23.25">
      <c r="A1" s="45" t="s">
        <v>547</v>
      </c>
      <c r="B1" s="45" t="s">
        <v>548</v>
      </c>
    </row>
    <row r="2" spans="1:2">
      <c r="A2" s="44" t="s">
        <v>17</v>
      </c>
      <c r="B2" s="44" t="s">
        <v>467</v>
      </c>
    </row>
    <row r="3" spans="1:2">
      <c r="A3" s="44" t="s">
        <v>106</v>
      </c>
      <c r="B3" s="44" t="s">
        <v>468</v>
      </c>
    </row>
    <row r="4" spans="1:2">
      <c r="A4" s="44" t="s">
        <v>540</v>
      </c>
      <c r="B4" s="44" t="s">
        <v>541</v>
      </c>
    </row>
    <row r="5" spans="1:2">
      <c r="A5" s="44" t="s">
        <v>107</v>
      </c>
      <c r="B5" s="44" t="s">
        <v>107</v>
      </c>
    </row>
  </sheetData>
  <pageMargins left="0.7" right="0.7" top="0.75" bottom="0.75" header="0.3" footer="0.3"/>
  <pageSetup paperSize="161"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A6E7E-275A-458B-8ECD-AA73133D2689}">
  <sheetPr codeName="Sheet11">
    <tabColor rgb="FF064DD9"/>
  </sheetPr>
  <dimension ref="A1:AJ154"/>
  <sheetViews>
    <sheetView topLeftCell="K1" workbookViewId="0">
      <selection activeCell="O2" sqref="O2"/>
    </sheetView>
  </sheetViews>
  <sheetFormatPr defaultColWidth="8.7109375" defaultRowHeight="15"/>
  <cols>
    <col min="1" max="1" width="14" bestFit="1" customWidth="1"/>
    <col min="2" max="2" width="11.7109375" bestFit="1" customWidth="1"/>
    <col min="3" max="3" width="13" bestFit="1" customWidth="1"/>
    <col min="4" max="4" width="14.85546875" bestFit="1" customWidth="1"/>
    <col min="5" max="5" width="19" bestFit="1" customWidth="1"/>
    <col min="6" max="6" width="20.85546875" bestFit="1" customWidth="1"/>
    <col min="7" max="7" width="20.5703125" bestFit="1" customWidth="1"/>
    <col min="8" max="11" width="81.140625" bestFit="1" customWidth="1"/>
    <col min="12" max="14" width="6.28515625" bestFit="1" customWidth="1"/>
    <col min="15" max="15" width="10.140625" bestFit="1" customWidth="1"/>
    <col min="16" max="17" width="81.140625" bestFit="1" customWidth="1"/>
    <col min="18" max="18" width="18.5703125" bestFit="1" customWidth="1"/>
    <col min="19" max="19" width="30.42578125" bestFit="1" customWidth="1"/>
    <col min="20" max="20" width="5.140625" bestFit="1" customWidth="1"/>
    <col min="21" max="21" width="18.140625" bestFit="1" customWidth="1"/>
    <col min="22" max="22" width="10.7109375" bestFit="1" customWidth="1"/>
    <col min="23" max="23" width="13.7109375" bestFit="1" customWidth="1"/>
    <col min="24" max="24" width="10.140625" bestFit="1" customWidth="1"/>
    <col min="25" max="25" width="15.7109375" bestFit="1" customWidth="1"/>
    <col min="26" max="26" width="11.140625" bestFit="1" customWidth="1"/>
    <col min="27" max="27" width="7.5703125" bestFit="1" customWidth="1"/>
    <col min="28" max="28" width="28.85546875" bestFit="1" customWidth="1"/>
    <col min="29" max="29" width="29.5703125" bestFit="1" customWidth="1"/>
    <col min="30" max="30" width="26.5703125" bestFit="1" customWidth="1"/>
    <col min="31" max="31" width="23.42578125" bestFit="1" customWidth="1"/>
    <col min="32" max="32" width="33.28515625" bestFit="1" customWidth="1"/>
    <col min="33" max="33" width="24.7109375" bestFit="1" customWidth="1"/>
    <col min="34" max="34" width="33.140625" bestFit="1" customWidth="1"/>
    <col min="35" max="35" width="22.42578125" bestFit="1" customWidth="1"/>
    <col min="36" max="36" width="25.7109375" bestFit="1" customWidth="1"/>
    <col min="37" max="37" width="25.7109375" customWidth="1"/>
    <col min="38" max="38" width="22.42578125" bestFit="1" customWidth="1"/>
    <col min="39" max="39" width="25.7109375" bestFit="1" customWidth="1"/>
  </cols>
  <sheetData>
    <row r="1" spans="1:36">
      <c r="A1" t="s">
        <v>549</v>
      </c>
      <c r="B1" t="s">
        <v>96</v>
      </c>
      <c r="C1" t="s">
        <v>550</v>
      </c>
      <c r="D1" t="s">
        <v>551</v>
      </c>
      <c r="E1" t="s">
        <v>552</v>
      </c>
      <c r="F1" t="s">
        <v>553</v>
      </c>
      <c r="G1" t="s">
        <v>554</v>
      </c>
      <c r="H1" t="s">
        <v>555</v>
      </c>
      <c r="I1" t="s">
        <v>556</v>
      </c>
      <c r="J1" t="s">
        <v>557</v>
      </c>
      <c r="K1" t="s">
        <v>558</v>
      </c>
      <c r="L1" t="s">
        <v>559</v>
      </c>
      <c r="M1" t="s">
        <v>560</v>
      </c>
      <c r="N1" t="s">
        <v>561</v>
      </c>
      <c r="O1" t="s">
        <v>562</v>
      </c>
      <c r="P1" t="s">
        <v>563</v>
      </c>
      <c r="Q1" t="s">
        <v>564</v>
      </c>
      <c r="R1" t="s">
        <v>565</v>
      </c>
      <c r="S1" t="s">
        <v>566</v>
      </c>
      <c r="T1" t="s">
        <v>95</v>
      </c>
      <c r="U1" t="s">
        <v>567</v>
      </c>
      <c r="V1" t="s">
        <v>568</v>
      </c>
      <c r="W1" t="s">
        <v>569</v>
      </c>
      <c r="X1" t="s">
        <v>570</v>
      </c>
      <c r="Y1" t="s">
        <v>571</v>
      </c>
      <c r="Z1" t="s">
        <v>572</v>
      </c>
      <c r="AA1" t="s">
        <v>573</v>
      </c>
      <c r="AB1" t="s">
        <v>574</v>
      </c>
      <c r="AC1" t="s">
        <v>575</v>
      </c>
      <c r="AD1" t="s">
        <v>576</v>
      </c>
      <c r="AE1" t="s">
        <v>577</v>
      </c>
      <c r="AF1" t="s">
        <v>578</v>
      </c>
      <c r="AG1" t="s">
        <v>579</v>
      </c>
      <c r="AH1" t="s">
        <v>580</v>
      </c>
      <c r="AI1" t="s">
        <v>581</v>
      </c>
      <c r="AJ1" t="s">
        <v>582</v>
      </c>
    </row>
    <row r="2" spans="1:36">
      <c r="A2" t="s">
        <v>583</v>
      </c>
      <c r="B2">
        <v>1</v>
      </c>
      <c r="C2" t="s">
        <v>584</v>
      </c>
      <c r="D2" t="s">
        <v>585</v>
      </c>
      <c r="E2" t="s">
        <v>586</v>
      </c>
      <c r="F2" t="s">
        <v>587</v>
      </c>
      <c r="G2" t="s">
        <v>588</v>
      </c>
      <c r="H2" t="s">
        <v>589</v>
      </c>
      <c r="I2" t="s">
        <v>590</v>
      </c>
      <c r="J2" t="s">
        <v>591</v>
      </c>
      <c r="K2" t="s">
        <v>592</v>
      </c>
      <c r="L2" t="s">
        <v>593</v>
      </c>
      <c r="M2" t="s">
        <v>593</v>
      </c>
      <c r="N2" t="s">
        <v>593</v>
      </c>
      <c r="O2" t="s">
        <v>594</v>
      </c>
      <c r="P2" t="s">
        <v>595</v>
      </c>
      <c r="Q2" t="s">
        <v>596</v>
      </c>
      <c r="R2" t="s">
        <v>594</v>
      </c>
      <c r="S2" t="s">
        <v>594</v>
      </c>
      <c r="T2">
        <v>1</v>
      </c>
      <c r="U2" t="s">
        <v>597</v>
      </c>
      <c r="V2" t="s">
        <v>598</v>
      </c>
      <c r="W2" t="s">
        <v>598</v>
      </c>
      <c r="X2" t="s">
        <v>599</v>
      </c>
      <c r="Y2" t="s">
        <v>600</v>
      </c>
      <c r="AB2" t="s">
        <v>600</v>
      </c>
      <c r="AC2" t="s">
        <v>600</v>
      </c>
      <c r="AI2" t="s">
        <v>601</v>
      </c>
    </row>
    <row r="3" spans="1:36">
      <c r="A3" t="s">
        <v>602</v>
      </c>
      <c r="B3">
        <v>1</v>
      </c>
      <c r="C3" t="s">
        <v>584</v>
      </c>
      <c r="D3" t="s">
        <v>585</v>
      </c>
      <c r="E3" t="s">
        <v>586</v>
      </c>
      <c r="F3" t="s">
        <v>603</v>
      </c>
      <c r="G3" t="s">
        <v>604</v>
      </c>
      <c r="H3" t="s">
        <v>605</v>
      </c>
      <c r="I3" t="s">
        <v>606</v>
      </c>
      <c r="J3" t="s">
        <v>607</v>
      </c>
      <c r="K3" t="s">
        <v>608</v>
      </c>
      <c r="L3" t="s">
        <v>593</v>
      </c>
      <c r="M3" t="s">
        <v>593</v>
      </c>
      <c r="N3" t="s">
        <v>593</v>
      </c>
      <c r="O3" t="s">
        <v>594</v>
      </c>
      <c r="P3" t="s">
        <v>609</v>
      </c>
      <c r="Q3" t="s">
        <v>610</v>
      </c>
      <c r="R3" t="s">
        <v>594</v>
      </c>
      <c r="S3" t="s">
        <v>594</v>
      </c>
      <c r="T3">
        <v>2</v>
      </c>
      <c r="U3" t="s">
        <v>597</v>
      </c>
      <c r="V3" t="s">
        <v>598</v>
      </c>
      <c r="W3" t="s">
        <v>598</v>
      </c>
      <c r="X3" t="s">
        <v>611</v>
      </c>
      <c r="Y3" t="s">
        <v>600</v>
      </c>
      <c r="AB3" t="s">
        <v>600</v>
      </c>
      <c r="AC3" t="s">
        <v>600</v>
      </c>
      <c r="AI3" t="s">
        <v>601</v>
      </c>
    </row>
    <row r="4" spans="1:36">
      <c r="A4" t="s">
        <v>612</v>
      </c>
      <c r="B4">
        <v>1</v>
      </c>
      <c r="C4" t="s">
        <v>584</v>
      </c>
      <c r="D4" t="s">
        <v>585</v>
      </c>
      <c r="E4" t="s">
        <v>586</v>
      </c>
      <c r="F4" t="s">
        <v>613</v>
      </c>
      <c r="G4" t="s">
        <v>614</v>
      </c>
      <c r="H4" t="s">
        <v>615</v>
      </c>
      <c r="I4" t="s">
        <v>616</v>
      </c>
      <c r="J4" t="s">
        <v>617</v>
      </c>
      <c r="K4" t="s">
        <v>618</v>
      </c>
      <c r="L4" t="s">
        <v>594</v>
      </c>
      <c r="M4" t="s">
        <v>593</v>
      </c>
      <c r="N4" t="s">
        <v>593</v>
      </c>
      <c r="O4" t="s">
        <v>594</v>
      </c>
      <c r="P4" t="s">
        <v>594</v>
      </c>
      <c r="Q4" t="s">
        <v>594</v>
      </c>
      <c r="R4" t="s">
        <v>594</v>
      </c>
      <c r="S4" t="s">
        <v>594</v>
      </c>
      <c r="T4">
        <v>3</v>
      </c>
      <c r="U4" t="s">
        <v>597</v>
      </c>
      <c r="V4" t="s">
        <v>598</v>
      </c>
      <c r="W4" t="s">
        <v>598</v>
      </c>
      <c r="X4" t="s">
        <v>619</v>
      </c>
      <c r="Y4" t="s">
        <v>600</v>
      </c>
      <c r="AB4" t="s">
        <v>600</v>
      </c>
      <c r="AC4" t="s">
        <v>600</v>
      </c>
      <c r="AI4" t="s">
        <v>601</v>
      </c>
    </row>
    <row r="5" spans="1:36">
      <c r="A5" t="s">
        <v>620</v>
      </c>
      <c r="B5">
        <v>1</v>
      </c>
      <c r="C5" t="s">
        <v>584</v>
      </c>
      <c r="D5" t="s">
        <v>585</v>
      </c>
      <c r="E5" t="s">
        <v>586</v>
      </c>
      <c r="F5" t="s">
        <v>587</v>
      </c>
      <c r="G5" t="s">
        <v>588</v>
      </c>
      <c r="H5" t="s">
        <v>621</v>
      </c>
      <c r="I5" t="s">
        <v>622</v>
      </c>
      <c r="J5" t="s">
        <v>623</v>
      </c>
      <c r="K5" t="s">
        <v>624</v>
      </c>
      <c r="L5" t="s">
        <v>594</v>
      </c>
      <c r="M5" t="s">
        <v>593</v>
      </c>
      <c r="N5" t="s">
        <v>593</v>
      </c>
      <c r="O5" t="s">
        <v>594</v>
      </c>
      <c r="P5" t="s">
        <v>594</v>
      </c>
      <c r="Q5" t="s">
        <v>594</v>
      </c>
      <c r="R5" t="s">
        <v>594</v>
      </c>
      <c r="S5" t="s">
        <v>594</v>
      </c>
      <c r="T5">
        <v>4</v>
      </c>
      <c r="U5" t="s">
        <v>597</v>
      </c>
      <c r="V5" t="s">
        <v>598</v>
      </c>
      <c r="W5" t="s">
        <v>598</v>
      </c>
      <c r="X5" t="s">
        <v>625</v>
      </c>
      <c r="Y5" t="s">
        <v>600</v>
      </c>
      <c r="AB5" t="s">
        <v>600</v>
      </c>
      <c r="AC5" t="s">
        <v>600</v>
      </c>
      <c r="AI5" t="s">
        <v>601</v>
      </c>
      <c r="AJ5" t="s">
        <v>601</v>
      </c>
    </row>
    <row r="6" spans="1:36">
      <c r="A6" t="s">
        <v>626</v>
      </c>
      <c r="B6">
        <v>1</v>
      </c>
      <c r="C6" t="s">
        <v>584</v>
      </c>
      <c r="D6" t="s">
        <v>585</v>
      </c>
      <c r="E6" t="s">
        <v>586</v>
      </c>
      <c r="F6" t="s">
        <v>613</v>
      </c>
      <c r="G6" t="s">
        <v>614</v>
      </c>
      <c r="H6" t="s">
        <v>627</v>
      </c>
      <c r="I6" t="s">
        <v>628</v>
      </c>
      <c r="J6" t="s">
        <v>629</v>
      </c>
      <c r="K6" t="s">
        <v>630</v>
      </c>
      <c r="L6" t="s">
        <v>594</v>
      </c>
      <c r="M6" t="s">
        <v>594</v>
      </c>
      <c r="N6" t="s">
        <v>593</v>
      </c>
      <c r="O6" t="s">
        <v>594</v>
      </c>
      <c r="P6" t="s">
        <v>594</v>
      </c>
      <c r="Q6" t="s">
        <v>594</v>
      </c>
      <c r="R6" t="s">
        <v>594</v>
      </c>
      <c r="S6" t="s">
        <v>594</v>
      </c>
      <c r="T6">
        <v>5</v>
      </c>
      <c r="U6" t="s">
        <v>597</v>
      </c>
      <c r="V6" t="s">
        <v>598</v>
      </c>
      <c r="W6" t="s">
        <v>598</v>
      </c>
      <c r="X6" t="s">
        <v>625</v>
      </c>
      <c r="Y6" t="s">
        <v>600</v>
      </c>
      <c r="AB6" t="s">
        <v>600</v>
      </c>
      <c r="AC6" t="s">
        <v>600</v>
      </c>
      <c r="AI6" t="s">
        <v>601</v>
      </c>
      <c r="AJ6" t="s">
        <v>601</v>
      </c>
    </row>
    <row r="7" spans="1:36">
      <c r="A7" t="s">
        <v>631</v>
      </c>
      <c r="B7">
        <v>2</v>
      </c>
      <c r="C7" t="s">
        <v>632</v>
      </c>
      <c r="D7" t="s">
        <v>633</v>
      </c>
      <c r="E7" t="s">
        <v>634</v>
      </c>
      <c r="F7" t="s">
        <v>587</v>
      </c>
      <c r="G7" t="s">
        <v>588</v>
      </c>
      <c r="H7" t="s">
        <v>635</v>
      </c>
      <c r="I7" t="s">
        <v>636</v>
      </c>
      <c r="J7" t="s">
        <v>637</v>
      </c>
      <c r="K7" t="s">
        <v>638</v>
      </c>
      <c r="L7" t="s">
        <v>593</v>
      </c>
      <c r="M7" t="s">
        <v>593</v>
      </c>
      <c r="N7" t="s">
        <v>593</v>
      </c>
      <c r="O7" t="s">
        <v>594</v>
      </c>
      <c r="P7" t="s">
        <v>639</v>
      </c>
      <c r="Q7" t="s">
        <v>640</v>
      </c>
      <c r="R7" t="s">
        <v>594</v>
      </c>
      <c r="S7" t="s">
        <v>594</v>
      </c>
      <c r="T7">
        <v>6</v>
      </c>
      <c r="U7" t="s">
        <v>597</v>
      </c>
      <c r="V7" t="s">
        <v>598</v>
      </c>
      <c r="W7" t="s">
        <v>598</v>
      </c>
      <c r="X7" t="s">
        <v>599</v>
      </c>
      <c r="Y7" t="s">
        <v>600</v>
      </c>
      <c r="AB7" t="s">
        <v>600</v>
      </c>
      <c r="AC7" t="s">
        <v>600</v>
      </c>
      <c r="AI7" t="s">
        <v>601</v>
      </c>
    </row>
    <row r="8" spans="1:36">
      <c r="A8" t="s">
        <v>641</v>
      </c>
      <c r="B8">
        <v>2</v>
      </c>
      <c r="C8" t="s">
        <v>632</v>
      </c>
      <c r="D8" t="s">
        <v>633</v>
      </c>
      <c r="E8" t="s">
        <v>634</v>
      </c>
      <c r="F8" t="s">
        <v>587</v>
      </c>
      <c r="G8" t="s">
        <v>588</v>
      </c>
      <c r="H8" t="s">
        <v>642</v>
      </c>
      <c r="I8" t="s">
        <v>643</v>
      </c>
      <c r="J8" t="s">
        <v>644</v>
      </c>
      <c r="K8" t="s">
        <v>645</v>
      </c>
      <c r="L8" t="s">
        <v>593</v>
      </c>
      <c r="M8" t="s">
        <v>593</v>
      </c>
      <c r="N8" t="s">
        <v>593</v>
      </c>
      <c r="O8" t="s">
        <v>468</v>
      </c>
      <c r="P8" t="s">
        <v>646</v>
      </c>
      <c r="Q8" t="s">
        <v>647</v>
      </c>
      <c r="R8" t="s">
        <v>594</v>
      </c>
      <c r="S8" t="s">
        <v>594</v>
      </c>
      <c r="T8">
        <v>7</v>
      </c>
      <c r="U8" t="s">
        <v>597</v>
      </c>
      <c r="V8" t="s">
        <v>598</v>
      </c>
      <c r="W8" t="s">
        <v>598</v>
      </c>
      <c r="X8" t="s">
        <v>599</v>
      </c>
      <c r="Y8" t="s">
        <v>600</v>
      </c>
      <c r="AB8" t="s">
        <v>600</v>
      </c>
      <c r="AC8" t="s">
        <v>600</v>
      </c>
      <c r="AI8" t="s">
        <v>601</v>
      </c>
      <c r="AJ8" t="s">
        <v>601</v>
      </c>
    </row>
    <row r="9" spans="1:36">
      <c r="A9" t="s">
        <v>648</v>
      </c>
      <c r="B9">
        <v>2</v>
      </c>
      <c r="C9" t="s">
        <v>632</v>
      </c>
      <c r="D9" t="s">
        <v>633</v>
      </c>
      <c r="E9" t="s">
        <v>634</v>
      </c>
      <c r="F9" t="s">
        <v>603</v>
      </c>
      <c r="G9" t="s">
        <v>604</v>
      </c>
      <c r="H9" t="s">
        <v>649</v>
      </c>
      <c r="I9" t="s">
        <v>650</v>
      </c>
      <c r="J9" t="s">
        <v>651</v>
      </c>
      <c r="K9" t="s">
        <v>652</v>
      </c>
      <c r="L9" t="s">
        <v>593</v>
      </c>
      <c r="M9" t="s">
        <v>593</v>
      </c>
      <c r="N9" t="s">
        <v>593</v>
      </c>
      <c r="O9" t="s">
        <v>468</v>
      </c>
      <c r="P9" t="s">
        <v>653</v>
      </c>
      <c r="Q9" t="s">
        <v>654</v>
      </c>
      <c r="R9" t="s">
        <v>594</v>
      </c>
      <c r="S9" t="s">
        <v>594</v>
      </c>
      <c r="T9">
        <v>8</v>
      </c>
      <c r="U9" t="s">
        <v>597</v>
      </c>
      <c r="V9" t="s">
        <v>598</v>
      </c>
      <c r="W9" t="s">
        <v>598</v>
      </c>
      <c r="X9" t="s">
        <v>655</v>
      </c>
      <c r="Y9" t="s">
        <v>600</v>
      </c>
      <c r="AB9" t="s">
        <v>600</v>
      </c>
      <c r="AC9" t="s">
        <v>600</v>
      </c>
      <c r="AI9" t="s">
        <v>601</v>
      </c>
    </row>
    <row r="10" spans="1:36">
      <c r="A10" t="s">
        <v>656</v>
      </c>
      <c r="B10">
        <v>2</v>
      </c>
      <c r="C10" t="s">
        <v>632</v>
      </c>
      <c r="D10" t="s">
        <v>633</v>
      </c>
      <c r="E10" t="s">
        <v>634</v>
      </c>
      <c r="F10" t="s">
        <v>613</v>
      </c>
      <c r="G10" t="s">
        <v>614</v>
      </c>
      <c r="H10" t="s">
        <v>657</v>
      </c>
      <c r="I10" t="s">
        <v>658</v>
      </c>
      <c r="J10" t="s">
        <v>659</v>
      </c>
      <c r="K10" t="s">
        <v>660</v>
      </c>
      <c r="L10" t="s">
        <v>594</v>
      </c>
      <c r="M10" t="s">
        <v>593</v>
      </c>
      <c r="N10" t="s">
        <v>593</v>
      </c>
      <c r="O10" t="s">
        <v>594</v>
      </c>
      <c r="P10" t="s">
        <v>661</v>
      </c>
      <c r="Q10" t="s">
        <v>662</v>
      </c>
      <c r="R10" t="s">
        <v>594</v>
      </c>
      <c r="S10" t="s">
        <v>594</v>
      </c>
      <c r="T10">
        <v>9</v>
      </c>
      <c r="U10" t="s">
        <v>597</v>
      </c>
      <c r="V10" t="s">
        <v>598</v>
      </c>
      <c r="W10" t="s">
        <v>598</v>
      </c>
      <c r="X10" t="s">
        <v>619</v>
      </c>
      <c r="Y10" t="s">
        <v>600</v>
      </c>
      <c r="AB10" t="s">
        <v>600</v>
      </c>
      <c r="AC10" t="s">
        <v>600</v>
      </c>
      <c r="AI10" t="s">
        <v>601</v>
      </c>
    </row>
    <row r="11" spans="1:36">
      <c r="A11" t="s">
        <v>663</v>
      </c>
      <c r="B11">
        <v>2</v>
      </c>
      <c r="C11" t="s">
        <v>632</v>
      </c>
      <c r="D11" t="s">
        <v>633</v>
      </c>
      <c r="E11" t="s">
        <v>634</v>
      </c>
      <c r="F11" t="s">
        <v>664</v>
      </c>
      <c r="G11" t="s">
        <v>665</v>
      </c>
      <c r="H11" t="s">
        <v>666</v>
      </c>
      <c r="I11" t="s">
        <v>667</v>
      </c>
      <c r="J11" t="s">
        <v>668</v>
      </c>
      <c r="K11" t="s">
        <v>669</v>
      </c>
      <c r="L11" t="s">
        <v>594</v>
      </c>
      <c r="M11" t="s">
        <v>593</v>
      </c>
      <c r="N11" t="s">
        <v>593</v>
      </c>
      <c r="O11" t="s">
        <v>468</v>
      </c>
      <c r="P11" t="s">
        <v>670</v>
      </c>
      <c r="Q11" t="s">
        <v>671</v>
      </c>
      <c r="R11" t="s">
        <v>594</v>
      </c>
      <c r="S11" t="s">
        <v>594</v>
      </c>
      <c r="T11">
        <v>10</v>
      </c>
      <c r="U11" t="s">
        <v>597</v>
      </c>
      <c r="V11" t="s">
        <v>598</v>
      </c>
      <c r="W11" t="s">
        <v>598</v>
      </c>
      <c r="X11" t="s">
        <v>672</v>
      </c>
      <c r="Y11" t="s">
        <v>600</v>
      </c>
      <c r="AB11" t="s">
        <v>600</v>
      </c>
      <c r="AC11" t="s">
        <v>600</v>
      </c>
      <c r="AI11" t="s">
        <v>601</v>
      </c>
    </row>
    <row r="12" spans="1:36">
      <c r="A12" t="s">
        <v>673</v>
      </c>
      <c r="B12">
        <v>2</v>
      </c>
      <c r="C12" t="s">
        <v>632</v>
      </c>
      <c r="D12" t="s">
        <v>633</v>
      </c>
      <c r="E12" t="s">
        <v>634</v>
      </c>
      <c r="F12" t="s">
        <v>664</v>
      </c>
      <c r="G12" t="s">
        <v>665</v>
      </c>
      <c r="H12" t="s">
        <v>674</v>
      </c>
      <c r="I12" t="s">
        <v>675</v>
      </c>
      <c r="J12" t="s">
        <v>676</v>
      </c>
      <c r="K12" t="s">
        <v>677</v>
      </c>
      <c r="L12" t="s">
        <v>594</v>
      </c>
      <c r="M12" t="s">
        <v>593</v>
      </c>
      <c r="N12" t="s">
        <v>593</v>
      </c>
      <c r="O12" t="s">
        <v>468</v>
      </c>
      <c r="P12" t="s">
        <v>678</v>
      </c>
      <c r="Q12" t="s">
        <v>679</v>
      </c>
      <c r="R12" t="s">
        <v>594</v>
      </c>
      <c r="S12" t="s">
        <v>594</v>
      </c>
      <c r="T12">
        <v>11</v>
      </c>
      <c r="U12" t="s">
        <v>597</v>
      </c>
      <c r="V12" t="s">
        <v>598</v>
      </c>
      <c r="W12" t="s">
        <v>598</v>
      </c>
      <c r="X12" t="s">
        <v>619</v>
      </c>
      <c r="Y12" t="s">
        <v>600</v>
      </c>
      <c r="AB12" t="s">
        <v>600</v>
      </c>
      <c r="AC12" t="s">
        <v>600</v>
      </c>
      <c r="AI12" t="s">
        <v>601</v>
      </c>
    </row>
    <row r="13" spans="1:36">
      <c r="A13" t="s">
        <v>680</v>
      </c>
      <c r="B13">
        <v>2</v>
      </c>
      <c r="C13" t="s">
        <v>632</v>
      </c>
      <c r="D13" t="s">
        <v>633</v>
      </c>
      <c r="E13" t="s">
        <v>634</v>
      </c>
      <c r="F13" t="s">
        <v>664</v>
      </c>
      <c r="G13" t="s">
        <v>665</v>
      </c>
      <c r="H13" t="s">
        <v>681</v>
      </c>
      <c r="I13" t="s">
        <v>682</v>
      </c>
      <c r="J13" t="s">
        <v>683</v>
      </c>
      <c r="K13" t="s">
        <v>684</v>
      </c>
      <c r="L13" t="s">
        <v>594</v>
      </c>
      <c r="M13" t="s">
        <v>594</v>
      </c>
      <c r="N13" t="s">
        <v>593</v>
      </c>
      <c r="O13" t="s">
        <v>468</v>
      </c>
      <c r="P13" t="s">
        <v>685</v>
      </c>
      <c r="Q13" t="s">
        <v>686</v>
      </c>
      <c r="R13" t="s">
        <v>594</v>
      </c>
      <c r="S13" t="s">
        <v>594</v>
      </c>
      <c r="T13">
        <v>12</v>
      </c>
      <c r="U13" t="s">
        <v>597</v>
      </c>
      <c r="V13" t="s">
        <v>598</v>
      </c>
      <c r="W13" t="s">
        <v>598</v>
      </c>
      <c r="X13" t="s">
        <v>655</v>
      </c>
      <c r="Y13" t="s">
        <v>600</v>
      </c>
      <c r="AB13" t="s">
        <v>600</v>
      </c>
      <c r="AC13" t="s">
        <v>600</v>
      </c>
      <c r="AI13" t="s">
        <v>601</v>
      </c>
      <c r="AJ13" t="s">
        <v>601</v>
      </c>
    </row>
    <row r="14" spans="1:36">
      <c r="A14" t="s">
        <v>687</v>
      </c>
      <c r="B14">
        <v>3</v>
      </c>
      <c r="C14" t="s">
        <v>688</v>
      </c>
      <c r="D14" t="s">
        <v>349</v>
      </c>
      <c r="E14" t="s">
        <v>689</v>
      </c>
      <c r="F14" t="s">
        <v>587</v>
      </c>
      <c r="G14" t="s">
        <v>690</v>
      </c>
      <c r="H14" t="s">
        <v>691</v>
      </c>
      <c r="I14" t="s">
        <v>692</v>
      </c>
      <c r="J14" t="s">
        <v>693</v>
      </c>
      <c r="K14" t="s">
        <v>694</v>
      </c>
      <c r="L14" t="s">
        <v>593</v>
      </c>
      <c r="M14" t="s">
        <v>593</v>
      </c>
      <c r="N14" t="s">
        <v>593</v>
      </c>
      <c r="O14" t="s">
        <v>594</v>
      </c>
      <c r="P14" t="s">
        <v>695</v>
      </c>
      <c r="Q14" t="s">
        <v>696</v>
      </c>
      <c r="R14" t="s">
        <v>594</v>
      </c>
      <c r="S14" t="s">
        <v>594</v>
      </c>
      <c r="T14">
        <v>13</v>
      </c>
      <c r="U14" t="s">
        <v>597</v>
      </c>
      <c r="V14" t="s">
        <v>598</v>
      </c>
      <c r="W14" t="s">
        <v>598</v>
      </c>
      <c r="X14" t="s">
        <v>672</v>
      </c>
      <c r="Y14" t="s">
        <v>600</v>
      </c>
      <c r="AB14" t="s">
        <v>600</v>
      </c>
      <c r="AC14" t="s">
        <v>600</v>
      </c>
      <c r="AI14" t="s">
        <v>601</v>
      </c>
      <c r="AJ14" t="s">
        <v>601</v>
      </c>
    </row>
    <row r="15" spans="1:36">
      <c r="A15" t="s">
        <v>697</v>
      </c>
      <c r="B15">
        <v>3</v>
      </c>
      <c r="C15" t="s">
        <v>688</v>
      </c>
      <c r="D15" t="s">
        <v>349</v>
      </c>
      <c r="E15" t="s">
        <v>689</v>
      </c>
      <c r="F15" t="s">
        <v>587</v>
      </c>
      <c r="G15" t="s">
        <v>588</v>
      </c>
      <c r="H15" t="s">
        <v>698</v>
      </c>
      <c r="I15" t="s">
        <v>699</v>
      </c>
      <c r="J15" t="s">
        <v>700</v>
      </c>
      <c r="K15" t="s">
        <v>701</v>
      </c>
      <c r="L15" t="s">
        <v>593</v>
      </c>
      <c r="M15" t="s">
        <v>593</v>
      </c>
      <c r="N15" t="s">
        <v>593</v>
      </c>
      <c r="O15" t="s">
        <v>594</v>
      </c>
      <c r="P15" t="s">
        <v>594</v>
      </c>
      <c r="Q15" t="s">
        <v>594</v>
      </c>
      <c r="R15" t="s">
        <v>594</v>
      </c>
      <c r="S15" t="s">
        <v>594</v>
      </c>
      <c r="T15">
        <v>14</v>
      </c>
      <c r="U15" t="s">
        <v>597</v>
      </c>
      <c r="V15" t="s">
        <v>598</v>
      </c>
      <c r="W15" t="s">
        <v>598</v>
      </c>
      <c r="X15" t="s">
        <v>625</v>
      </c>
      <c r="Y15" t="s">
        <v>600</v>
      </c>
      <c r="AB15" t="s">
        <v>600</v>
      </c>
      <c r="AC15" t="s">
        <v>600</v>
      </c>
      <c r="AI15" t="s">
        <v>601</v>
      </c>
      <c r="AJ15" t="s">
        <v>601</v>
      </c>
    </row>
    <row r="16" spans="1:36">
      <c r="A16" t="s">
        <v>702</v>
      </c>
      <c r="B16">
        <v>3</v>
      </c>
      <c r="C16" t="s">
        <v>688</v>
      </c>
      <c r="D16" t="s">
        <v>349</v>
      </c>
      <c r="E16" t="s">
        <v>689</v>
      </c>
      <c r="F16" t="s">
        <v>664</v>
      </c>
      <c r="G16" t="s">
        <v>665</v>
      </c>
      <c r="H16" t="s">
        <v>703</v>
      </c>
      <c r="I16" t="s">
        <v>704</v>
      </c>
      <c r="J16" t="s">
        <v>705</v>
      </c>
      <c r="K16" t="s">
        <v>706</v>
      </c>
      <c r="L16" t="s">
        <v>593</v>
      </c>
      <c r="M16" t="s">
        <v>593</v>
      </c>
      <c r="N16" t="s">
        <v>593</v>
      </c>
      <c r="O16" t="s">
        <v>594</v>
      </c>
      <c r="P16" t="s">
        <v>594</v>
      </c>
      <c r="Q16" t="s">
        <v>594</v>
      </c>
      <c r="R16" t="s">
        <v>594</v>
      </c>
      <c r="S16" t="s">
        <v>594</v>
      </c>
      <c r="T16">
        <v>15</v>
      </c>
      <c r="U16" t="s">
        <v>597</v>
      </c>
      <c r="V16" t="s">
        <v>598</v>
      </c>
      <c r="W16" t="s">
        <v>598</v>
      </c>
      <c r="X16" t="s">
        <v>625</v>
      </c>
      <c r="Y16" t="s">
        <v>600</v>
      </c>
      <c r="AB16" t="s">
        <v>600</v>
      </c>
      <c r="AC16" t="s">
        <v>600</v>
      </c>
      <c r="AI16" t="s">
        <v>601</v>
      </c>
      <c r="AJ16" t="s">
        <v>601</v>
      </c>
    </row>
    <row r="17" spans="1:36">
      <c r="A17" t="s">
        <v>707</v>
      </c>
      <c r="B17">
        <v>3</v>
      </c>
      <c r="C17" t="s">
        <v>688</v>
      </c>
      <c r="D17" t="s">
        <v>349</v>
      </c>
      <c r="E17" t="s">
        <v>689</v>
      </c>
      <c r="F17" t="s">
        <v>664</v>
      </c>
      <c r="G17" t="s">
        <v>665</v>
      </c>
      <c r="H17" t="s">
        <v>708</v>
      </c>
      <c r="I17" t="s">
        <v>709</v>
      </c>
      <c r="J17" t="s">
        <v>710</v>
      </c>
      <c r="K17" t="s">
        <v>711</v>
      </c>
      <c r="L17" t="s">
        <v>593</v>
      </c>
      <c r="M17" t="s">
        <v>593</v>
      </c>
      <c r="N17" t="s">
        <v>593</v>
      </c>
      <c r="O17" t="s">
        <v>594</v>
      </c>
      <c r="P17" t="s">
        <v>594</v>
      </c>
      <c r="Q17" t="s">
        <v>594</v>
      </c>
      <c r="R17" t="s">
        <v>594</v>
      </c>
      <c r="S17" t="s">
        <v>594</v>
      </c>
      <c r="T17">
        <v>16</v>
      </c>
      <c r="U17" t="s">
        <v>597</v>
      </c>
      <c r="V17" t="s">
        <v>598</v>
      </c>
      <c r="W17" t="s">
        <v>598</v>
      </c>
      <c r="X17" t="s">
        <v>625</v>
      </c>
      <c r="Y17" t="s">
        <v>600</v>
      </c>
      <c r="AB17" t="s">
        <v>600</v>
      </c>
      <c r="AC17" t="s">
        <v>600</v>
      </c>
      <c r="AI17" t="s">
        <v>601</v>
      </c>
      <c r="AJ17" t="s">
        <v>601</v>
      </c>
    </row>
    <row r="18" spans="1:36">
      <c r="A18" t="s">
        <v>712</v>
      </c>
      <c r="B18">
        <v>3</v>
      </c>
      <c r="C18" t="s">
        <v>688</v>
      </c>
      <c r="D18" t="s">
        <v>349</v>
      </c>
      <c r="E18" t="s">
        <v>689</v>
      </c>
      <c r="F18" t="s">
        <v>664</v>
      </c>
      <c r="G18" t="s">
        <v>665</v>
      </c>
      <c r="H18" t="s">
        <v>713</v>
      </c>
      <c r="I18" t="s">
        <v>714</v>
      </c>
      <c r="J18" t="s">
        <v>715</v>
      </c>
      <c r="K18" t="s">
        <v>716</v>
      </c>
      <c r="L18" t="s">
        <v>593</v>
      </c>
      <c r="M18" t="s">
        <v>593</v>
      </c>
      <c r="N18" t="s">
        <v>593</v>
      </c>
      <c r="O18" t="s">
        <v>594</v>
      </c>
      <c r="P18" t="s">
        <v>594</v>
      </c>
      <c r="Q18" t="s">
        <v>594</v>
      </c>
      <c r="R18" t="s">
        <v>594</v>
      </c>
      <c r="S18" t="s">
        <v>594</v>
      </c>
      <c r="T18">
        <v>17</v>
      </c>
      <c r="U18" t="s">
        <v>597</v>
      </c>
      <c r="V18" t="s">
        <v>598</v>
      </c>
      <c r="W18" t="s">
        <v>598</v>
      </c>
      <c r="X18" t="s">
        <v>625</v>
      </c>
      <c r="Y18" t="s">
        <v>600</v>
      </c>
      <c r="AB18" t="s">
        <v>600</v>
      </c>
      <c r="AC18" t="s">
        <v>600</v>
      </c>
      <c r="AI18" t="s">
        <v>601</v>
      </c>
      <c r="AJ18" t="s">
        <v>601</v>
      </c>
    </row>
    <row r="19" spans="1:36">
      <c r="A19" t="s">
        <v>717</v>
      </c>
      <c r="B19">
        <v>3</v>
      </c>
      <c r="C19" t="s">
        <v>688</v>
      </c>
      <c r="D19" t="s">
        <v>585</v>
      </c>
      <c r="E19" t="s">
        <v>689</v>
      </c>
      <c r="F19" t="s">
        <v>664</v>
      </c>
      <c r="G19" t="s">
        <v>665</v>
      </c>
      <c r="H19" t="s">
        <v>718</v>
      </c>
      <c r="I19" t="s">
        <v>719</v>
      </c>
      <c r="J19" t="s">
        <v>720</v>
      </c>
      <c r="K19" t="s">
        <v>721</v>
      </c>
      <c r="L19" t="s">
        <v>593</v>
      </c>
      <c r="M19" t="s">
        <v>593</v>
      </c>
      <c r="N19" t="s">
        <v>593</v>
      </c>
      <c r="O19" t="s">
        <v>594</v>
      </c>
      <c r="P19" t="s">
        <v>722</v>
      </c>
      <c r="Q19" t="s">
        <v>723</v>
      </c>
      <c r="R19" t="s">
        <v>594</v>
      </c>
      <c r="S19" t="s">
        <v>594</v>
      </c>
      <c r="T19">
        <v>18</v>
      </c>
      <c r="U19" t="s">
        <v>597</v>
      </c>
      <c r="V19" t="s">
        <v>598</v>
      </c>
      <c r="W19" t="s">
        <v>598</v>
      </c>
      <c r="X19" t="s">
        <v>672</v>
      </c>
      <c r="Y19" t="s">
        <v>600</v>
      </c>
      <c r="AB19" t="s">
        <v>600</v>
      </c>
      <c r="AC19" t="s">
        <v>600</v>
      </c>
      <c r="AI19" t="s">
        <v>601</v>
      </c>
      <c r="AJ19" t="s">
        <v>601</v>
      </c>
    </row>
    <row r="20" spans="1:36">
      <c r="A20" t="s">
        <v>724</v>
      </c>
      <c r="B20">
        <v>3</v>
      </c>
      <c r="C20" t="s">
        <v>688</v>
      </c>
      <c r="D20" t="s">
        <v>585</v>
      </c>
      <c r="E20" t="s">
        <v>689</v>
      </c>
      <c r="F20" t="s">
        <v>587</v>
      </c>
      <c r="G20" t="s">
        <v>588</v>
      </c>
      <c r="H20" t="s">
        <v>725</v>
      </c>
      <c r="I20" t="s">
        <v>726</v>
      </c>
      <c r="J20" t="s">
        <v>727</v>
      </c>
      <c r="K20" t="s">
        <v>728</v>
      </c>
      <c r="L20" t="s">
        <v>594</v>
      </c>
      <c r="M20" t="s">
        <v>593</v>
      </c>
      <c r="N20" t="s">
        <v>593</v>
      </c>
      <c r="O20" t="s">
        <v>594</v>
      </c>
      <c r="P20" t="s">
        <v>594</v>
      </c>
      <c r="Q20" t="s">
        <v>594</v>
      </c>
      <c r="R20" t="s">
        <v>594</v>
      </c>
      <c r="S20" t="s">
        <v>594</v>
      </c>
      <c r="T20">
        <v>19</v>
      </c>
      <c r="U20" t="s">
        <v>597</v>
      </c>
      <c r="V20" t="s">
        <v>598</v>
      </c>
      <c r="W20" t="s">
        <v>598</v>
      </c>
      <c r="X20" t="s">
        <v>625</v>
      </c>
      <c r="Y20" t="s">
        <v>600</v>
      </c>
      <c r="AB20" t="s">
        <v>600</v>
      </c>
      <c r="AC20" t="s">
        <v>600</v>
      </c>
      <c r="AI20" t="s">
        <v>601</v>
      </c>
      <c r="AJ20" t="s">
        <v>601</v>
      </c>
    </row>
    <row r="21" spans="1:36">
      <c r="A21" t="s">
        <v>729</v>
      </c>
      <c r="B21">
        <v>3</v>
      </c>
      <c r="C21" t="s">
        <v>688</v>
      </c>
      <c r="D21" t="s">
        <v>349</v>
      </c>
      <c r="E21" t="s">
        <v>689</v>
      </c>
      <c r="F21" t="s">
        <v>587</v>
      </c>
      <c r="G21" t="s">
        <v>588</v>
      </c>
      <c r="H21" t="s">
        <v>730</v>
      </c>
      <c r="I21" t="s">
        <v>731</v>
      </c>
      <c r="J21" t="s">
        <v>732</v>
      </c>
      <c r="K21" t="s">
        <v>733</v>
      </c>
      <c r="L21" t="s">
        <v>594</v>
      </c>
      <c r="M21" t="s">
        <v>593</v>
      </c>
      <c r="N21" t="s">
        <v>593</v>
      </c>
      <c r="O21" t="s">
        <v>594</v>
      </c>
      <c r="P21" t="s">
        <v>594</v>
      </c>
      <c r="Q21" t="s">
        <v>594</v>
      </c>
      <c r="R21" t="s">
        <v>594</v>
      </c>
      <c r="S21" t="s">
        <v>594</v>
      </c>
      <c r="T21">
        <v>20</v>
      </c>
      <c r="U21" t="s">
        <v>597</v>
      </c>
      <c r="V21" t="s">
        <v>598</v>
      </c>
      <c r="W21" t="s">
        <v>598</v>
      </c>
      <c r="X21" t="s">
        <v>625</v>
      </c>
      <c r="Y21" t="s">
        <v>600</v>
      </c>
      <c r="AB21" t="s">
        <v>600</v>
      </c>
      <c r="AC21" t="s">
        <v>600</v>
      </c>
      <c r="AI21" t="s">
        <v>601</v>
      </c>
      <c r="AJ21" t="s">
        <v>601</v>
      </c>
    </row>
    <row r="22" spans="1:36">
      <c r="A22" t="s">
        <v>734</v>
      </c>
      <c r="B22">
        <v>3</v>
      </c>
      <c r="C22" t="s">
        <v>688</v>
      </c>
      <c r="D22" t="s">
        <v>349</v>
      </c>
      <c r="E22" t="s">
        <v>689</v>
      </c>
      <c r="F22" t="s">
        <v>664</v>
      </c>
      <c r="G22" t="s">
        <v>665</v>
      </c>
      <c r="H22" t="s">
        <v>735</v>
      </c>
      <c r="I22" t="s">
        <v>736</v>
      </c>
      <c r="J22" t="s">
        <v>737</v>
      </c>
      <c r="K22" t="s">
        <v>738</v>
      </c>
      <c r="L22" t="s">
        <v>594</v>
      </c>
      <c r="M22" t="s">
        <v>593</v>
      </c>
      <c r="N22" t="s">
        <v>593</v>
      </c>
      <c r="O22" t="s">
        <v>594</v>
      </c>
      <c r="P22" t="s">
        <v>739</v>
      </c>
      <c r="Q22" t="s">
        <v>740</v>
      </c>
      <c r="R22" t="s">
        <v>594</v>
      </c>
      <c r="S22" t="s">
        <v>594</v>
      </c>
      <c r="T22">
        <v>21</v>
      </c>
      <c r="U22" t="s">
        <v>597</v>
      </c>
      <c r="V22" t="s">
        <v>598</v>
      </c>
      <c r="W22" t="s">
        <v>598</v>
      </c>
      <c r="X22" t="s">
        <v>619</v>
      </c>
      <c r="Y22" t="s">
        <v>600</v>
      </c>
      <c r="AB22" t="s">
        <v>600</v>
      </c>
      <c r="AC22" t="s">
        <v>600</v>
      </c>
      <c r="AI22" t="s">
        <v>601</v>
      </c>
      <c r="AJ22" t="s">
        <v>601</v>
      </c>
    </row>
    <row r="23" spans="1:36">
      <c r="A23" t="s">
        <v>741</v>
      </c>
      <c r="B23">
        <v>3</v>
      </c>
      <c r="C23" t="s">
        <v>688</v>
      </c>
      <c r="D23" t="s">
        <v>349</v>
      </c>
      <c r="E23" t="s">
        <v>689</v>
      </c>
      <c r="F23" t="s">
        <v>664</v>
      </c>
      <c r="G23" t="s">
        <v>665</v>
      </c>
      <c r="H23" t="s">
        <v>742</v>
      </c>
      <c r="I23" t="s">
        <v>743</v>
      </c>
      <c r="J23" t="s">
        <v>744</v>
      </c>
      <c r="K23" t="s">
        <v>745</v>
      </c>
      <c r="L23" t="s">
        <v>594</v>
      </c>
      <c r="M23" t="s">
        <v>593</v>
      </c>
      <c r="N23" t="s">
        <v>593</v>
      </c>
      <c r="O23" t="s">
        <v>594</v>
      </c>
      <c r="P23" t="s">
        <v>594</v>
      </c>
      <c r="Q23" t="s">
        <v>594</v>
      </c>
      <c r="R23" t="s">
        <v>594</v>
      </c>
      <c r="S23" t="s">
        <v>594</v>
      </c>
      <c r="T23">
        <v>22</v>
      </c>
      <c r="U23" t="s">
        <v>597</v>
      </c>
      <c r="V23" t="s">
        <v>598</v>
      </c>
      <c r="W23" t="s">
        <v>598</v>
      </c>
      <c r="X23" t="s">
        <v>625</v>
      </c>
      <c r="Y23" t="s">
        <v>600</v>
      </c>
      <c r="AB23" t="s">
        <v>600</v>
      </c>
      <c r="AC23" t="s">
        <v>600</v>
      </c>
      <c r="AI23" t="s">
        <v>601</v>
      </c>
      <c r="AJ23" t="s">
        <v>601</v>
      </c>
    </row>
    <row r="24" spans="1:36">
      <c r="A24" t="s">
        <v>746</v>
      </c>
      <c r="B24">
        <v>3</v>
      </c>
      <c r="C24" t="s">
        <v>688</v>
      </c>
      <c r="D24" t="s">
        <v>349</v>
      </c>
      <c r="E24" t="s">
        <v>689</v>
      </c>
      <c r="F24" t="s">
        <v>664</v>
      </c>
      <c r="G24" t="s">
        <v>665</v>
      </c>
      <c r="H24" t="s">
        <v>747</v>
      </c>
      <c r="I24" t="s">
        <v>748</v>
      </c>
      <c r="J24" t="s">
        <v>749</v>
      </c>
      <c r="K24" t="s">
        <v>750</v>
      </c>
      <c r="L24" t="s">
        <v>594</v>
      </c>
      <c r="M24" t="s">
        <v>593</v>
      </c>
      <c r="N24" t="s">
        <v>593</v>
      </c>
      <c r="O24" t="s">
        <v>594</v>
      </c>
      <c r="P24" t="s">
        <v>594</v>
      </c>
      <c r="Q24" t="s">
        <v>594</v>
      </c>
      <c r="R24" t="s">
        <v>594</v>
      </c>
      <c r="S24" t="s">
        <v>594</v>
      </c>
      <c r="T24">
        <v>23</v>
      </c>
      <c r="U24" t="s">
        <v>597</v>
      </c>
      <c r="V24" t="s">
        <v>598</v>
      </c>
      <c r="W24" t="s">
        <v>598</v>
      </c>
      <c r="X24" t="s">
        <v>625</v>
      </c>
      <c r="Y24" t="s">
        <v>600</v>
      </c>
      <c r="AB24" t="s">
        <v>600</v>
      </c>
      <c r="AC24" t="s">
        <v>600</v>
      </c>
      <c r="AI24" t="s">
        <v>601</v>
      </c>
      <c r="AJ24" t="s">
        <v>601</v>
      </c>
    </row>
    <row r="25" spans="1:36">
      <c r="A25" t="s">
        <v>751</v>
      </c>
      <c r="B25">
        <v>3</v>
      </c>
      <c r="C25" t="s">
        <v>688</v>
      </c>
      <c r="D25" t="s">
        <v>752</v>
      </c>
      <c r="E25" t="s">
        <v>689</v>
      </c>
      <c r="F25" t="s">
        <v>664</v>
      </c>
      <c r="G25" t="s">
        <v>665</v>
      </c>
      <c r="H25" t="s">
        <v>753</v>
      </c>
      <c r="I25" t="s">
        <v>754</v>
      </c>
      <c r="J25" t="s">
        <v>755</v>
      </c>
      <c r="K25" t="s">
        <v>756</v>
      </c>
      <c r="L25" t="s">
        <v>594</v>
      </c>
      <c r="M25" t="s">
        <v>593</v>
      </c>
      <c r="N25" t="s">
        <v>593</v>
      </c>
      <c r="O25" t="s">
        <v>594</v>
      </c>
      <c r="P25" t="s">
        <v>594</v>
      </c>
      <c r="Q25" t="s">
        <v>594</v>
      </c>
      <c r="R25" t="s">
        <v>594</v>
      </c>
      <c r="S25" t="s">
        <v>594</v>
      </c>
      <c r="T25">
        <v>24</v>
      </c>
      <c r="U25" t="s">
        <v>597</v>
      </c>
      <c r="V25" t="s">
        <v>598</v>
      </c>
      <c r="W25" t="s">
        <v>598</v>
      </c>
      <c r="X25" t="s">
        <v>625</v>
      </c>
      <c r="Y25" t="s">
        <v>600</v>
      </c>
      <c r="AB25" t="s">
        <v>600</v>
      </c>
      <c r="AC25" t="s">
        <v>600</v>
      </c>
      <c r="AI25" t="s">
        <v>601</v>
      </c>
      <c r="AJ25" t="s">
        <v>601</v>
      </c>
    </row>
    <row r="26" spans="1:36">
      <c r="A26" t="s">
        <v>757</v>
      </c>
      <c r="B26">
        <v>3</v>
      </c>
      <c r="C26" t="s">
        <v>688</v>
      </c>
      <c r="D26" t="s">
        <v>349</v>
      </c>
      <c r="E26" t="s">
        <v>689</v>
      </c>
      <c r="F26" t="s">
        <v>664</v>
      </c>
      <c r="G26" t="s">
        <v>665</v>
      </c>
      <c r="H26" t="s">
        <v>758</v>
      </c>
      <c r="I26" t="s">
        <v>759</v>
      </c>
      <c r="J26" t="s">
        <v>760</v>
      </c>
      <c r="K26" t="s">
        <v>761</v>
      </c>
      <c r="L26" t="s">
        <v>594</v>
      </c>
      <c r="M26" t="s">
        <v>594</v>
      </c>
      <c r="N26" t="s">
        <v>593</v>
      </c>
      <c r="O26" t="s">
        <v>468</v>
      </c>
      <c r="P26" t="s">
        <v>762</v>
      </c>
      <c r="Q26" t="s">
        <v>763</v>
      </c>
      <c r="R26" t="s">
        <v>594</v>
      </c>
      <c r="S26" t="s">
        <v>594</v>
      </c>
      <c r="T26">
        <v>25</v>
      </c>
      <c r="U26" t="s">
        <v>597</v>
      </c>
      <c r="V26" t="s">
        <v>598</v>
      </c>
      <c r="W26" t="s">
        <v>598</v>
      </c>
      <c r="X26" t="s">
        <v>619</v>
      </c>
      <c r="Y26" t="s">
        <v>600</v>
      </c>
      <c r="AB26" t="s">
        <v>600</v>
      </c>
      <c r="AC26" t="s">
        <v>600</v>
      </c>
      <c r="AI26" t="s">
        <v>601</v>
      </c>
      <c r="AJ26" t="s">
        <v>601</v>
      </c>
    </row>
    <row r="27" spans="1:36">
      <c r="A27" t="s">
        <v>764</v>
      </c>
      <c r="B27">
        <v>3</v>
      </c>
      <c r="C27" t="s">
        <v>688</v>
      </c>
      <c r="D27" t="s">
        <v>349</v>
      </c>
      <c r="E27" t="s">
        <v>689</v>
      </c>
      <c r="F27" t="s">
        <v>613</v>
      </c>
      <c r="G27" t="s">
        <v>614</v>
      </c>
      <c r="H27" t="s">
        <v>765</v>
      </c>
      <c r="I27" t="s">
        <v>766</v>
      </c>
      <c r="J27" t="s">
        <v>767</v>
      </c>
      <c r="K27" t="s">
        <v>768</v>
      </c>
      <c r="L27" t="s">
        <v>594</v>
      </c>
      <c r="M27" t="s">
        <v>594</v>
      </c>
      <c r="N27" t="s">
        <v>593</v>
      </c>
      <c r="O27" t="s">
        <v>594</v>
      </c>
      <c r="P27" t="s">
        <v>769</v>
      </c>
      <c r="Q27" t="s">
        <v>770</v>
      </c>
      <c r="R27" t="s">
        <v>594</v>
      </c>
      <c r="S27" t="s">
        <v>594</v>
      </c>
      <c r="T27">
        <v>26</v>
      </c>
      <c r="U27" t="s">
        <v>597</v>
      </c>
      <c r="V27" t="s">
        <v>598</v>
      </c>
      <c r="W27" t="s">
        <v>598</v>
      </c>
      <c r="X27" t="s">
        <v>672</v>
      </c>
      <c r="Y27" t="s">
        <v>600</v>
      </c>
      <c r="AB27" t="s">
        <v>600</v>
      </c>
      <c r="AC27" t="s">
        <v>600</v>
      </c>
      <c r="AI27" t="s">
        <v>601</v>
      </c>
      <c r="AJ27" t="s">
        <v>601</v>
      </c>
    </row>
    <row r="28" spans="1:36">
      <c r="A28" t="s">
        <v>771</v>
      </c>
      <c r="B28">
        <v>4</v>
      </c>
      <c r="C28" t="s">
        <v>772</v>
      </c>
      <c r="D28" t="s">
        <v>633</v>
      </c>
      <c r="E28" t="s">
        <v>773</v>
      </c>
      <c r="F28" t="s">
        <v>664</v>
      </c>
      <c r="G28" t="s">
        <v>690</v>
      </c>
      <c r="H28" t="s">
        <v>774</v>
      </c>
      <c r="I28" t="s">
        <v>775</v>
      </c>
      <c r="J28" t="s">
        <v>776</v>
      </c>
      <c r="K28" t="s">
        <v>777</v>
      </c>
      <c r="L28" t="s">
        <v>593</v>
      </c>
      <c r="M28" t="s">
        <v>593</v>
      </c>
      <c r="N28" t="s">
        <v>593</v>
      </c>
      <c r="O28" t="s">
        <v>594</v>
      </c>
      <c r="P28" t="s">
        <v>594</v>
      </c>
      <c r="Q28" t="s">
        <v>594</v>
      </c>
      <c r="R28" t="s">
        <v>594</v>
      </c>
      <c r="S28" t="s">
        <v>594</v>
      </c>
      <c r="T28">
        <v>27</v>
      </c>
      <c r="U28" t="s">
        <v>597</v>
      </c>
      <c r="V28" t="s">
        <v>598</v>
      </c>
      <c r="W28" t="s">
        <v>598</v>
      </c>
      <c r="X28" t="s">
        <v>625</v>
      </c>
      <c r="Y28" t="s">
        <v>600</v>
      </c>
      <c r="AB28" t="s">
        <v>600</v>
      </c>
      <c r="AC28" t="s">
        <v>600</v>
      </c>
      <c r="AI28" t="s">
        <v>601</v>
      </c>
      <c r="AJ28" t="s">
        <v>601</v>
      </c>
    </row>
    <row r="29" spans="1:36">
      <c r="A29" t="s">
        <v>778</v>
      </c>
      <c r="B29">
        <v>4</v>
      </c>
      <c r="C29" t="s">
        <v>772</v>
      </c>
      <c r="D29" t="s">
        <v>752</v>
      </c>
      <c r="E29" t="s">
        <v>773</v>
      </c>
      <c r="F29" t="s">
        <v>664</v>
      </c>
      <c r="G29" t="s">
        <v>690</v>
      </c>
      <c r="H29" t="s">
        <v>779</v>
      </c>
      <c r="I29" t="s">
        <v>780</v>
      </c>
      <c r="J29" t="s">
        <v>781</v>
      </c>
      <c r="K29" t="s">
        <v>782</v>
      </c>
      <c r="L29" t="s">
        <v>593</v>
      </c>
      <c r="M29" t="s">
        <v>593</v>
      </c>
      <c r="N29" t="s">
        <v>593</v>
      </c>
      <c r="O29" t="s">
        <v>594</v>
      </c>
      <c r="P29" t="s">
        <v>594</v>
      </c>
      <c r="Q29" t="s">
        <v>594</v>
      </c>
      <c r="R29" t="s">
        <v>594</v>
      </c>
      <c r="S29" t="s">
        <v>594</v>
      </c>
      <c r="T29">
        <v>28</v>
      </c>
      <c r="U29" t="s">
        <v>597</v>
      </c>
      <c r="V29" t="s">
        <v>598</v>
      </c>
      <c r="W29" t="s">
        <v>598</v>
      </c>
      <c r="X29" t="s">
        <v>625</v>
      </c>
      <c r="Y29" t="s">
        <v>600</v>
      </c>
      <c r="AB29" t="s">
        <v>600</v>
      </c>
      <c r="AC29" t="s">
        <v>600</v>
      </c>
      <c r="AI29" t="s">
        <v>601</v>
      </c>
      <c r="AJ29" t="s">
        <v>601</v>
      </c>
    </row>
    <row r="30" spans="1:36">
      <c r="A30" t="s">
        <v>783</v>
      </c>
      <c r="B30">
        <v>4</v>
      </c>
      <c r="C30" t="s">
        <v>772</v>
      </c>
      <c r="D30" t="s">
        <v>357</v>
      </c>
      <c r="E30" t="s">
        <v>586</v>
      </c>
      <c r="F30" t="s">
        <v>664</v>
      </c>
      <c r="G30" t="s">
        <v>665</v>
      </c>
      <c r="H30" t="s">
        <v>784</v>
      </c>
      <c r="I30" t="s">
        <v>785</v>
      </c>
      <c r="J30" t="s">
        <v>786</v>
      </c>
      <c r="K30" t="s">
        <v>787</v>
      </c>
      <c r="L30" t="s">
        <v>593</v>
      </c>
      <c r="M30" t="s">
        <v>593</v>
      </c>
      <c r="N30" t="s">
        <v>593</v>
      </c>
      <c r="O30" t="s">
        <v>594</v>
      </c>
      <c r="P30" t="s">
        <v>788</v>
      </c>
      <c r="Q30" t="s">
        <v>789</v>
      </c>
      <c r="R30" t="s">
        <v>594</v>
      </c>
      <c r="S30" t="s">
        <v>594</v>
      </c>
      <c r="T30">
        <v>29</v>
      </c>
      <c r="U30" t="s">
        <v>597</v>
      </c>
      <c r="V30" t="s">
        <v>598</v>
      </c>
      <c r="W30" t="s">
        <v>598</v>
      </c>
      <c r="X30" t="s">
        <v>672</v>
      </c>
      <c r="Y30" t="s">
        <v>600</v>
      </c>
      <c r="AB30" t="s">
        <v>600</v>
      </c>
      <c r="AC30" t="s">
        <v>600</v>
      </c>
      <c r="AI30" t="s">
        <v>601</v>
      </c>
      <c r="AJ30" t="s">
        <v>601</v>
      </c>
    </row>
    <row r="31" spans="1:36">
      <c r="A31" t="s">
        <v>790</v>
      </c>
      <c r="B31">
        <v>4</v>
      </c>
      <c r="C31" t="s">
        <v>772</v>
      </c>
      <c r="D31" t="s">
        <v>585</v>
      </c>
      <c r="E31" t="s">
        <v>586</v>
      </c>
      <c r="F31" t="s">
        <v>664</v>
      </c>
      <c r="G31" t="s">
        <v>665</v>
      </c>
      <c r="H31" t="s">
        <v>791</v>
      </c>
      <c r="I31" t="s">
        <v>792</v>
      </c>
      <c r="J31" t="s">
        <v>793</v>
      </c>
      <c r="K31" t="s">
        <v>794</v>
      </c>
      <c r="L31" t="s">
        <v>593</v>
      </c>
      <c r="M31" t="s">
        <v>593</v>
      </c>
      <c r="N31" t="s">
        <v>593</v>
      </c>
      <c r="O31" t="s">
        <v>594</v>
      </c>
      <c r="P31" t="s">
        <v>795</v>
      </c>
      <c r="Q31" t="s">
        <v>796</v>
      </c>
      <c r="R31" t="s">
        <v>594</v>
      </c>
      <c r="S31" t="s">
        <v>594</v>
      </c>
      <c r="T31">
        <v>30</v>
      </c>
      <c r="U31" t="s">
        <v>597</v>
      </c>
      <c r="V31" t="s">
        <v>598</v>
      </c>
      <c r="W31" t="s">
        <v>598</v>
      </c>
      <c r="X31" t="s">
        <v>672</v>
      </c>
      <c r="Y31" t="s">
        <v>600</v>
      </c>
      <c r="AB31" t="s">
        <v>600</v>
      </c>
      <c r="AC31" t="s">
        <v>600</v>
      </c>
      <c r="AI31" t="s">
        <v>601</v>
      </c>
      <c r="AJ31" t="s">
        <v>601</v>
      </c>
    </row>
    <row r="32" spans="1:36">
      <c r="A32" t="s">
        <v>797</v>
      </c>
      <c r="B32">
        <v>4</v>
      </c>
      <c r="C32" t="s">
        <v>772</v>
      </c>
      <c r="D32" t="s">
        <v>585</v>
      </c>
      <c r="E32" t="s">
        <v>586</v>
      </c>
      <c r="F32" t="s">
        <v>664</v>
      </c>
      <c r="G32" t="s">
        <v>665</v>
      </c>
      <c r="H32" t="s">
        <v>798</v>
      </c>
      <c r="I32" t="s">
        <v>799</v>
      </c>
      <c r="J32" t="s">
        <v>800</v>
      </c>
      <c r="K32" t="s">
        <v>801</v>
      </c>
      <c r="L32" t="s">
        <v>593</v>
      </c>
      <c r="M32" t="s">
        <v>593</v>
      </c>
      <c r="N32" t="s">
        <v>593</v>
      </c>
      <c r="O32" t="s">
        <v>594</v>
      </c>
      <c r="P32" t="s">
        <v>795</v>
      </c>
      <c r="Q32" t="s">
        <v>796</v>
      </c>
      <c r="R32" t="s">
        <v>594</v>
      </c>
      <c r="S32" t="s">
        <v>594</v>
      </c>
      <c r="T32">
        <v>31</v>
      </c>
      <c r="U32" t="s">
        <v>597</v>
      </c>
      <c r="V32" t="s">
        <v>598</v>
      </c>
      <c r="W32" t="s">
        <v>598</v>
      </c>
      <c r="X32" t="s">
        <v>619</v>
      </c>
      <c r="Y32" t="s">
        <v>600</v>
      </c>
      <c r="AB32" t="s">
        <v>600</v>
      </c>
      <c r="AC32" t="s">
        <v>600</v>
      </c>
      <c r="AI32" t="s">
        <v>601</v>
      </c>
      <c r="AJ32" t="s">
        <v>601</v>
      </c>
    </row>
    <row r="33" spans="1:36">
      <c r="A33" t="s">
        <v>802</v>
      </c>
      <c r="B33">
        <v>4</v>
      </c>
      <c r="C33" t="s">
        <v>772</v>
      </c>
      <c r="D33" t="s">
        <v>752</v>
      </c>
      <c r="E33" t="s">
        <v>586</v>
      </c>
      <c r="F33" t="s">
        <v>664</v>
      </c>
      <c r="G33" t="s">
        <v>665</v>
      </c>
      <c r="H33" t="s">
        <v>803</v>
      </c>
      <c r="I33" t="s">
        <v>804</v>
      </c>
      <c r="J33" t="s">
        <v>805</v>
      </c>
      <c r="K33" t="s">
        <v>806</v>
      </c>
      <c r="L33" t="s">
        <v>593</v>
      </c>
      <c r="M33" t="s">
        <v>593</v>
      </c>
      <c r="N33" t="s">
        <v>593</v>
      </c>
      <c r="O33" t="s">
        <v>594</v>
      </c>
      <c r="P33" t="s">
        <v>594</v>
      </c>
      <c r="Q33" t="s">
        <v>594</v>
      </c>
      <c r="R33" t="s">
        <v>594</v>
      </c>
      <c r="S33" t="s">
        <v>594</v>
      </c>
      <c r="T33">
        <v>32</v>
      </c>
      <c r="U33" t="s">
        <v>597</v>
      </c>
      <c r="V33" t="s">
        <v>598</v>
      </c>
      <c r="W33" t="s">
        <v>598</v>
      </c>
      <c r="X33" t="s">
        <v>625</v>
      </c>
      <c r="Y33" t="s">
        <v>600</v>
      </c>
      <c r="AB33" t="s">
        <v>600</v>
      </c>
      <c r="AC33" t="s">
        <v>600</v>
      </c>
      <c r="AI33" t="s">
        <v>601</v>
      </c>
      <c r="AJ33" t="s">
        <v>601</v>
      </c>
    </row>
    <row r="34" spans="1:36">
      <c r="A34" t="s">
        <v>807</v>
      </c>
      <c r="B34">
        <v>4</v>
      </c>
      <c r="C34" t="s">
        <v>772</v>
      </c>
      <c r="D34" t="s">
        <v>357</v>
      </c>
      <c r="E34" t="s">
        <v>356</v>
      </c>
      <c r="F34" t="s">
        <v>664</v>
      </c>
      <c r="G34" t="s">
        <v>665</v>
      </c>
      <c r="H34" t="s">
        <v>808</v>
      </c>
      <c r="I34" t="s">
        <v>809</v>
      </c>
      <c r="J34" t="s">
        <v>810</v>
      </c>
      <c r="K34" t="s">
        <v>811</v>
      </c>
      <c r="L34" t="s">
        <v>593</v>
      </c>
      <c r="M34" t="s">
        <v>593</v>
      </c>
      <c r="N34" t="s">
        <v>593</v>
      </c>
      <c r="O34" t="s">
        <v>594</v>
      </c>
      <c r="P34" t="s">
        <v>594</v>
      </c>
      <c r="Q34" t="s">
        <v>594</v>
      </c>
      <c r="R34" t="s">
        <v>594</v>
      </c>
      <c r="S34" t="s">
        <v>594</v>
      </c>
      <c r="T34">
        <v>33</v>
      </c>
      <c r="U34" t="s">
        <v>597</v>
      </c>
      <c r="V34" t="s">
        <v>598</v>
      </c>
      <c r="W34" t="s">
        <v>598</v>
      </c>
      <c r="X34" t="s">
        <v>625</v>
      </c>
      <c r="Y34" t="s">
        <v>600</v>
      </c>
      <c r="AB34" t="s">
        <v>600</v>
      </c>
      <c r="AC34" t="s">
        <v>600</v>
      </c>
      <c r="AI34" t="s">
        <v>601</v>
      </c>
      <c r="AJ34" t="s">
        <v>601</v>
      </c>
    </row>
    <row r="35" spans="1:36">
      <c r="A35" t="s">
        <v>812</v>
      </c>
      <c r="B35">
        <v>4</v>
      </c>
      <c r="C35" t="s">
        <v>772</v>
      </c>
      <c r="D35" t="s">
        <v>585</v>
      </c>
      <c r="E35" t="s">
        <v>586</v>
      </c>
      <c r="F35" t="s">
        <v>664</v>
      </c>
      <c r="G35" t="s">
        <v>665</v>
      </c>
      <c r="H35" t="s">
        <v>813</v>
      </c>
      <c r="I35" t="s">
        <v>814</v>
      </c>
      <c r="J35" t="s">
        <v>815</v>
      </c>
      <c r="K35" t="s">
        <v>816</v>
      </c>
      <c r="L35" t="s">
        <v>594</v>
      </c>
      <c r="M35" t="s">
        <v>593</v>
      </c>
      <c r="N35" t="s">
        <v>593</v>
      </c>
      <c r="O35" t="s">
        <v>594</v>
      </c>
      <c r="P35" t="s">
        <v>594</v>
      </c>
      <c r="Q35" t="s">
        <v>594</v>
      </c>
      <c r="R35" t="s">
        <v>594</v>
      </c>
      <c r="S35" t="s">
        <v>594</v>
      </c>
      <c r="T35">
        <v>34</v>
      </c>
      <c r="U35" t="s">
        <v>597</v>
      </c>
      <c r="V35" t="s">
        <v>598</v>
      </c>
      <c r="W35" t="s">
        <v>598</v>
      </c>
      <c r="X35" t="s">
        <v>625</v>
      </c>
      <c r="Y35" t="s">
        <v>600</v>
      </c>
      <c r="AB35" t="s">
        <v>600</v>
      </c>
      <c r="AC35" t="s">
        <v>600</v>
      </c>
      <c r="AI35" t="s">
        <v>601</v>
      </c>
      <c r="AJ35" t="s">
        <v>601</v>
      </c>
    </row>
    <row r="36" spans="1:36">
      <c r="A36" t="s">
        <v>817</v>
      </c>
      <c r="B36">
        <v>4</v>
      </c>
      <c r="C36" t="s">
        <v>772</v>
      </c>
      <c r="D36" t="s">
        <v>585</v>
      </c>
      <c r="E36" t="s">
        <v>586</v>
      </c>
      <c r="F36" t="s">
        <v>664</v>
      </c>
      <c r="G36" t="s">
        <v>665</v>
      </c>
      <c r="H36" t="s">
        <v>818</v>
      </c>
      <c r="I36" t="s">
        <v>819</v>
      </c>
      <c r="J36" t="s">
        <v>820</v>
      </c>
      <c r="K36" t="s">
        <v>821</v>
      </c>
      <c r="L36" t="s">
        <v>594</v>
      </c>
      <c r="M36" t="s">
        <v>593</v>
      </c>
      <c r="N36" t="s">
        <v>593</v>
      </c>
      <c r="O36" t="s">
        <v>594</v>
      </c>
      <c r="P36" t="s">
        <v>594</v>
      </c>
      <c r="Q36" t="s">
        <v>594</v>
      </c>
      <c r="R36" t="s">
        <v>594</v>
      </c>
      <c r="S36" t="s">
        <v>594</v>
      </c>
      <c r="T36">
        <v>35</v>
      </c>
      <c r="U36" t="s">
        <v>597</v>
      </c>
      <c r="V36" t="s">
        <v>598</v>
      </c>
      <c r="W36" t="s">
        <v>598</v>
      </c>
      <c r="X36" t="s">
        <v>625</v>
      </c>
      <c r="Y36" t="s">
        <v>600</v>
      </c>
      <c r="AB36" t="s">
        <v>600</v>
      </c>
      <c r="AC36" t="s">
        <v>600</v>
      </c>
      <c r="AI36" t="s">
        <v>601</v>
      </c>
      <c r="AJ36" t="s">
        <v>601</v>
      </c>
    </row>
    <row r="37" spans="1:36">
      <c r="A37" t="s">
        <v>822</v>
      </c>
      <c r="B37">
        <v>4</v>
      </c>
      <c r="C37" t="s">
        <v>772</v>
      </c>
      <c r="D37" t="s">
        <v>585</v>
      </c>
      <c r="E37" t="s">
        <v>586</v>
      </c>
      <c r="F37" t="s">
        <v>603</v>
      </c>
      <c r="G37" t="s">
        <v>665</v>
      </c>
      <c r="H37" t="s">
        <v>823</v>
      </c>
      <c r="I37" t="s">
        <v>824</v>
      </c>
      <c r="J37" t="s">
        <v>825</v>
      </c>
      <c r="K37" t="s">
        <v>826</v>
      </c>
      <c r="L37" t="s">
        <v>594</v>
      </c>
      <c r="M37" t="s">
        <v>593</v>
      </c>
      <c r="N37" t="s">
        <v>593</v>
      </c>
      <c r="O37" t="s">
        <v>594</v>
      </c>
      <c r="P37" t="s">
        <v>788</v>
      </c>
      <c r="Q37" t="s">
        <v>789</v>
      </c>
      <c r="R37" t="s">
        <v>594</v>
      </c>
      <c r="S37" t="s">
        <v>594</v>
      </c>
      <c r="T37">
        <v>36</v>
      </c>
      <c r="U37" t="s">
        <v>597</v>
      </c>
      <c r="V37" t="s">
        <v>598</v>
      </c>
      <c r="W37" t="s">
        <v>598</v>
      </c>
      <c r="X37" t="s">
        <v>619</v>
      </c>
      <c r="Y37" t="s">
        <v>600</v>
      </c>
      <c r="AB37" t="s">
        <v>600</v>
      </c>
      <c r="AC37" t="s">
        <v>600</v>
      </c>
      <c r="AI37" t="s">
        <v>601</v>
      </c>
      <c r="AJ37" t="s">
        <v>601</v>
      </c>
    </row>
    <row r="38" spans="1:36">
      <c r="A38" t="s">
        <v>827</v>
      </c>
      <c r="B38">
        <v>4</v>
      </c>
      <c r="C38" t="s">
        <v>772</v>
      </c>
      <c r="D38" t="s">
        <v>585</v>
      </c>
      <c r="E38" t="s">
        <v>689</v>
      </c>
      <c r="F38" t="s">
        <v>664</v>
      </c>
      <c r="G38" t="s">
        <v>665</v>
      </c>
      <c r="H38" t="s">
        <v>828</v>
      </c>
      <c r="I38" t="s">
        <v>829</v>
      </c>
      <c r="J38" t="s">
        <v>830</v>
      </c>
      <c r="K38" t="s">
        <v>831</v>
      </c>
      <c r="L38" t="s">
        <v>594</v>
      </c>
      <c r="M38" t="s">
        <v>593</v>
      </c>
      <c r="N38" t="s">
        <v>593</v>
      </c>
      <c r="O38" t="s">
        <v>594</v>
      </c>
      <c r="P38" t="s">
        <v>594</v>
      </c>
      <c r="Q38" t="s">
        <v>594</v>
      </c>
      <c r="R38" t="s">
        <v>594</v>
      </c>
      <c r="S38" t="s">
        <v>594</v>
      </c>
      <c r="T38">
        <v>37</v>
      </c>
      <c r="U38" t="s">
        <v>597</v>
      </c>
      <c r="V38" t="s">
        <v>598</v>
      </c>
      <c r="W38" t="s">
        <v>598</v>
      </c>
      <c r="X38" t="s">
        <v>625</v>
      </c>
      <c r="Y38" t="s">
        <v>600</v>
      </c>
      <c r="AB38" t="s">
        <v>600</v>
      </c>
      <c r="AC38" t="s">
        <v>600</v>
      </c>
      <c r="AI38" t="s">
        <v>601</v>
      </c>
      <c r="AJ38" t="s">
        <v>601</v>
      </c>
    </row>
    <row r="39" spans="1:36">
      <c r="A39" t="s">
        <v>832</v>
      </c>
      <c r="B39">
        <v>4</v>
      </c>
      <c r="C39" t="s">
        <v>772</v>
      </c>
      <c r="D39" t="s">
        <v>585</v>
      </c>
      <c r="E39" t="s">
        <v>689</v>
      </c>
      <c r="F39" t="s">
        <v>664</v>
      </c>
      <c r="G39" t="s">
        <v>665</v>
      </c>
      <c r="H39" t="s">
        <v>833</v>
      </c>
      <c r="I39" t="s">
        <v>834</v>
      </c>
      <c r="J39" t="s">
        <v>835</v>
      </c>
      <c r="K39" t="s">
        <v>836</v>
      </c>
      <c r="L39" t="s">
        <v>594</v>
      </c>
      <c r="M39" t="s">
        <v>594</v>
      </c>
      <c r="N39" t="s">
        <v>593</v>
      </c>
      <c r="O39" t="s">
        <v>594</v>
      </c>
      <c r="P39" t="s">
        <v>837</v>
      </c>
      <c r="Q39" t="s">
        <v>838</v>
      </c>
      <c r="R39" t="s">
        <v>594</v>
      </c>
      <c r="S39" t="s">
        <v>594</v>
      </c>
      <c r="T39">
        <v>38</v>
      </c>
      <c r="U39" t="s">
        <v>597</v>
      </c>
      <c r="V39" t="s">
        <v>598</v>
      </c>
      <c r="W39" t="s">
        <v>598</v>
      </c>
      <c r="X39" t="s">
        <v>672</v>
      </c>
      <c r="Y39" t="s">
        <v>600</v>
      </c>
      <c r="AB39" t="s">
        <v>600</v>
      </c>
      <c r="AC39" t="s">
        <v>600</v>
      </c>
      <c r="AI39" t="s">
        <v>601</v>
      </c>
      <c r="AJ39" t="s">
        <v>601</v>
      </c>
    </row>
    <row r="40" spans="1:36">
      <c r="A40" t="s">
        <v>839</v>
      </c>
      <c r="B40">
        <v>5</v>
      </c>
      <c r="C40" t="s">
        <v>840</v>
      </c>
      <c r="D40" t="s">
        <v>357</v>
      </c>
      <c r="E40" t="s">
        <v>356</v>
      </c>
      <c r="F40" t="s">
        <v>587</v>
      </c>
      <c r="G40" t="s">
        <v>588</v>
      </c>
      <c r="H40" t="s">
        <v>841</v>
      </c>
      <c r="I40" t="s">
        <v>842</v>
      </c>
      <c r="J40" t="s">
        <v>843</v>
      </c>
      <c r="K40" t="s">
        <v>844</v>
      </c>
      <c r="L40" t="s">
        <v>593</v>
      </c>
      <c r="M40" t="s">
        <v>593</v>
      </c>
      <c r="N40" t="s">
        <v>593</v>
      </c>
      <c r="O40" t="s">
        <v>594</v>
      </c>
      <c r="P40" t="s">
        <v>845</v>
      </c>
      <c r="Q40" t="s">
        <v>846</v>
      </c>
      <c r="R40" t="s">
        <v>594</v>
      </c>
      <c r="S40" t="s">
        <v>594</v>
      </c>
      <c r="T40">
        <v>39</v>
      </c>
      <c r="U40" t="s">
        <v>597</v>
      </c>
      <c r="V40" t="s">
        <v>598</v>
      </c>
      <c r="W40" t="s">
        <v>598</v>
      </c>
      <c r="X40" t="s">
        <v>655</v>
      </c>
      <c r="Y40" t="s">
        <v>600</v>
      </c>
      <c r="AB40" t="s">
        <v>600</v>
      </c>
      <c r="AC40" t="s">
        <v>600</v>
      </c>
      <c r="AI40" t="s">
        <v>601</v>
      </c>
      <c r="AJ40" t="s">
        <v>601</v>
      </c>
    </row>
    <row r="41" spans="1:36">
      <c r="A41" t="s">
        <v>847</v>
      </c>
      <c r="B41">
        <v>5</v>
      </c>
      <c r="C41" t="s">
        <v>840</v>
      </c>
      <c r="D41" t="s">
        <v>357</v>
      </c>
      <c r="E41" t="s">
        <v>356</v>
      </c>
      <c r="F41" t="s">
        <v>664</v>
      </c>
      <c r="G41" t="s">
        <v>665</v>
      </c>
      <c r="H41" t="s">
        <v>848</v>
      </c>
      <c r="I41" t="s">
        <v>849</v>
      </c>
      <c r="J41" t="s">
        <v>850</v>
      </c>
      <c r="K41" t="s">
        <v>851</v>
      </c>
      <c r="L41" t="s">
        <v>593</v>
      </c>
      <c r="M41" t="s">
        <v>593</v>
      </c>
      <c r="N41" t="s">
        <v>593</v>
      </c>
      <c r="O41" t="s">
        <v>594</v>
      </c>
      <c r="P41" t="s">
        <v>852</v>
      </c>
      <c r="Q41" t="s">
        <v>853</v>
      </c>
      <c r="R41" t="s">
        <v>594</v>
      </c>
      <c r="S41" t="s">
        <v>594</v>
      </c>
      <c r="T41">
        <v>40</v>
      </c>
      <c r="U41" t="s">
        <v>597</v>
      </c>
      <c r="V41" t="s">
        <v>598</v>
      </c>
      <c r="W41" t="s">
        <v>598</v>
      </c>
      <c r="X41" t="s">
        <v>655</v>
      </c>
      <c r="Y41" t="s">
        <v>600</v>
      </c>
      <c r="AB41" t="s">
        <v>600</v>
      </c>
      <c r="AC41" t="s">
        <v>600</v>
      </c>
      <c r="AI41" t="s">
        <v>601</v>
      </c>
      <c r="AJ41" t="s">
        <v>601</v>
      </c>
    </row>
    <row r="42" spans="1:36">
      <c r="A42" t="s">
        <v>854</v>
      </c>
      <c r="B42">
        <v>5</v>
      </c>
      <c r="C42" t="s">
        <v>840</v>
      </c>
      <c r="D42" t="s">
        <v>357</v>
      </c>
      <c r="E42" t="s">
        <v>356</v>
      </c>
      <c r="F42" t="s">
        <v>603</v>
      </c>
      <c r="G42" t="s">
        <v>665</v>
      </c>
      <c r="H42" t="s">
        <v>855</v>
      </c>
      <c r="I42" t="s">
        <v>856</v>
      </c>
      <c r="J42" t="s">
        <v>857</v>
      </c>
      <c r="K42" t="s">
        <v>858</v>
      </c>
      <c r="L42" t="s">
        <v>593</v>
      </c>
      <c r="M42" t="s">
        <v>593</v>
      </c>
      <c r="N42" t="s">
        <v>593</v>
      </c>
      <c r="O42" t="s">
        <v>594</v>
      </c>
      <c r="P42" t="s">
        <v>859</v>
      </c>
      <c r="Q42" t="s">
        <v>860</v>
      </c>
      <c r="R42" t="s">
        <v>594</v>
      </c>
      <c r="S42" t="s">
        <v>594</v>
      </c>
      <c r="T42">
        <v>41</v>
      </c>
      <c r="U42" t="s">
        <v>597</v>
      </c>
      <c r="V42" t="s">
        <v>598</v>
      </c>
      <c r="W42" t="s">
        <v>598</v>
      </c>
      <c r="X42" t="s">
        <v>619</v>
      </c>
      <c r="Y42" t="s">
        <v>600</v>
      </c>
      <c r="AB42" t="s">
        <v>600</v>
      </c>
      <c r="AC42" t="s">
        <v>600</v>
      </c>
      <c r="AI42" t="s">
        <v>601</v>
      </c>
      <c r="AJ42" t="s">
        <v>601</v>
      </c>
    </row>
    <row r="43" spans="1:36">
      <c r="A43" t="s">
        <v>861</v>
      </c>
      <c r="B43">
        <v>5</v>
      </c>
      <c r="C43" t="s">
        <v>840</v>
      </c>
      <c r="D43" t="s">
        <v>357</v>
      </c>
      <c r="E43" t="s">
        <v>356</v>
      </c>
      <c r="F43" t="s">
        <v>664</v>
      </c>
      <c r="G43" t="s">
        <v>665</v>
      </c>
      <c r="H43" t="s">
        <v>862</v>
      </c>
      <c r="I43" t="s">
        <v>863</v>
      </c>
      <c r="J43" t="s">
        <v>864</v>
      </c>
      <c r="K43" t="s">
        <v>865</v>
      </c>
      <c r="L43" t="s">
        <v>593</v>
      </c>
      <c r="M43" t="s">
        <v>593</v>
      </c>
      <c r="N43" t="s">
        <v>593</v>
      </c>
      <c r="O43" t="s">
        <v>594</v>
      </c>
      <c r="P43" t="s">
        <v>594</v>
      </c>
      <c r="Q43" t="s">
        <v>594</v>
      </c>
      <c r="R43" t="s">
        <v>594</v>
      </c>
      <c r="S43" t="s">
        <v>594</v>
      </c>
      <c r="T43">
        <v>42</v>
      </c>
      <c r="U43" t="s">
        <v>597</v>
      </c>
      <c r="V43" t="s">
        <v>598</v>
      </c>
      <c r="W43" t="s">
        <v>598</v>
      </c>
      <c r="X43" t="s">
        <v>625</v>
      </c>
      <c r="Y43" t="s">
        <v>600</v>
      </c>
      <c r="AB43" t="s">
        <v>600</v>
      </c>
      <c r="AC43" t="s">
        <v>600</v>
      </c>
      <c r="AI43" t="s">
        <v>601</v>
      </c>
      <c r="AJ43" t="s">
        <v>601</v>
      </c>
    </row>
    <row r="44" spans="1:36">
      <c r="A44" t="s">
        <v>866</v>
      </c>
      <c r="B44">
        <v>5</v>
      </c>
      <c r="C44" t="s">
        <v>840</v>
      </c>
      <c r="D44" t="s">
        <v>357</v>
      </c>
      <c r="E44" t="s">
        <v>356</v>
      </c>
      <c r="F44" t="s">
        <v>587</v>
      </c>
      <c r="G44" t="s">
        <v>588</v>
      </c>
      <c r="H44" t="s">
        <v>867</v>
      </c>
      <c r="I44" t="s">
        <v>868</v>
      </c>
      <c r="J44" t="s">
        <v>869</v>
      </c>
      <c r="K44" t="s">
        <v>870</v>
      </c>
      <c r="L44" t="s">
        <v>594</v>
      </c>
      <c r="M44" t="s">
        <v>593</v>
      </c>
      <c r="N44" t="s">
        <v>593</v>
      </c>
      <c r="O44" t="s">
        <v>594</v>
      </c>
      <c r="P44" t="s">
        <v>594</v>
      </c>
      <c r="Q44" t="s">
        <v>594</v>
      </c>
      <c r="R44" t="s">
        <v>594</v>
      </c>
      <c r="S44" t="s">
        <v>594</v>
      </c>
      <c r="T44">
        <v>43</v>
      </c>
      <c r="U44" t="s">
        <v>597</v>
      </c>
      <c r="V44" t="s">
        <v>598</v>
      </c>
      <c r="W44" t="s">
        <v>598</v>
      </c>
      <c r="X44" t="s">
        <v>625</v>
      </c>
      <c r="Y44" t="s">
        <v>600</v>
      </c>
      <c r="AB44" t="s">
        <v>600</v>
      </c>
      <c r="AC44" t="s">
        <v>600</v>
      </c>
      <c r="AI44" t="s">
        <v>601</v>
      </c>
      <c r="AJ44" t="s">
        <v>601</v>
      </c>
    </row>
    <row r="45" spans="1:36">
      <c r="A45" t="s">
        <v>871</v>
      </c>
      <c r="B45">
        <v>5</v>
      </c>
      <c r="C45" t="s">
        <v>840</v>
      </c>
      <c r="D45" t="s">
        <v>357</v>
      </c>
      <c r="E45" t="s">
        <v>356</v>
      </c>
      <c r="F45" t="s">
        <v>664</v>
      </c>
      <c r="G45" t="s">
        <v>690</v>
      </c>
      <c r="H45" t="s">
        <v>872</v>
      </c>
      <c r="I45" t="s">
        <v>873</v>
      </c>
      <c r="J45" t="s">
        <v>874</v>
      </c>
      <c r="K45" t="s">
        <v>875</v>
      </c>
      <c r="L45" t="s">
        <v>594</v>
      </c>
      <c r="M45" t="s">
        <v>593</v>
      </c>
      <c r="N45" t="s">
        <v>593</v>
      </c>
      <c r="O45" t="s">
        <v>594</v>
      </c>
      <c r="P45" t="s">
        <v>594</v>
      </c>
      <c r="Q45" t="s">
        <v>594</v>
      </c>
      <c r="R45" t="s">
        <v>594</v>
      </c>
      <c r="S45" t="s">
        <v>594</v>
      </c>
      <c r="T45">
        <v>44</v>
      </c>
      <c r="U45" t="s">
        <v>597</v>
      </c>
      <c r="V45" t="s">
        <v>598</v>
      </c>
      <c r="W45" t="s">
        <v>598</v>
      </c>
      <c r="X45" t="s">
        <v>625</v>
      </c>
      <c r="Y45" t="s">
        <v>600</v>
      </c>
      <c r="AB45" t="s">
        <v>600</v>
      </c>
      <c r="AC45" t="s">
        <v>600</v>
      </c>
      <c r="AI45" t="s">
        <v>601</v>
      </c>
      <c r="AJ45" t="s">
        <v>601</v>
      </c>
    </row>
    <row r="46" spans="1:36">
      <c r="A46" t="s">
        <v>876</v>
      </c>
      <c r="B46">
        <v>6</v>
      </c>
      <c r="C46" t="s">
        <v>877</v>
      </c>
      <c r="D46" t="s">
        <v>357</v>
      </c>
      <c r="E46" t="s">
        <v>773</v>
      </c>
      <c r="F46" t="s">
        <v>664</v>
      </c>
      <c r="G46" t="s">
        <v>690</v>
      </c>
      <c r="H46" t="s">
        <v>878</v>
      </c>
      <c r="I46" t="s">
        <v>879</v>
      </c>
      <c r="J46" t="s">
        <v>880</v>
      </c>
      <c r="K46" t="s">
        <v>881</v>
      </c>
      <c r="L46" t="s">
        <v>593</v>
      </c>
      <c r="M46" t="s">
        <v>593</v>
      </c>
      <c r="N46" t="s">
        <v>593</v>
      </c>
      <c r="O46" t="s">
        <v>594</v>
      </c>
      <c r="P46" t="s">
        <v>594</v>
      </c>
      <c r="Q46" t="s">
        <v>594</v>
      </c>
      <c r="R46" t="s">
        <v>594</v>
      </c>
      <c r="S46" t="s">
        <v>594</v>
      </c>
      <c r="T46">
        <v>45</v>
      </c>
      <c r="U46" t="s">
        <v>597</v>
      </c>
      <c r="V46" t="s">
        <v>598</v>
      </c>
      <c r="W46" t="s">
        <v>598</v>
      </c>
      <c r="X46" t="s">
        <v>625</v>
      </c>
      <c r="Y46" t="s">
        <v>600</v>
      </c>
      <c r="AB46" t="s">
        <v>600</v>
      </c>
      <c r="AC46" t="s">
        <v>600</v>
      </c>
      <c r="AI46" t="s">
        <v>601</v>
      </c>
      <c r="AJ46" t="s">
        <v>601</v>
      </c>
    </row>
    <row r="47" spans="1:36">
      <c r="A47" t="s">
        <v>882</v>
      </c>
      <c r="B47">
        <v>6</v>
      </c>
      <c r="C47" t="s">
        <v>877</v>
      </c>
      <c r="D47" t="s">
        <v>357</v>
      </c>
      <c r="E47" t="s">
        <v>773</v>
      </c>
      <c r="F47" t="s">
        <v>664</v>
      </c>
      <c r="G47" t="s">
        <v>690</v>
      </c>
      <c r="H47" t="s">
        <v>883</v>
      </c>
      <c r="I47" t="s">
        <v>884</v>
      </c>
      <c r="J47" t="s">
        <v>885</v>
      </c>
      <c r="K47" t="s">
        <v>886</v>
      </c>
      <c r="L47" t="s">
        <v>593</v>
      </c>
      <c r="M47" t="s">
        <v>593</v>
      </c>
      <c r="N47" t="s">
        <v>593</v>
      </c>
      <c r="O47" t="s">
        <v>594</v>
      </c>
      <c r="P47" t="s">
        <v>594</v>
      </c>
      <c r="Q47" t="s">
        <v>594</v>
      </c>
      <c r="R47" t="s">
        <v>594</v>
      </c>
      <c r="S47" t="s">
        <v>594</v>
      </c>
      <c r="T47">
        <v>46</v>
      </c>
      <c r="U47" t="s">
        <v>597</v>
      </c>
      <c r="V47" t="s">
        <v>598</v>
      </c>
      <c r="W47" t="s">
        <v>598</v>
      </c>
      <c r="X47" t="s">
        <v>625</v>
      </c>
      <c r="Y47" t="s">
        <v>600</v>
      </c>
      <c r="AB47" t="s">
        <v>600</v>
      </c>
      <c r="AC47" t="s">
        <v>600</v>
      </c>
      <c r="AI47" t="s">
        <v>601</v>
      </c>
      <c r="AJ47" t="s">
        <v>601</v>
      </c>
    </row>
    <row r="48" spans="1:36">
      <c r="A48" t="s">
        <v>887</v>
      </c>
      <c r="B48">
        <v>6</v>
      </c>
      <c r="C48" t="s">
        <v>877</v>
      </c>
      <c r="D48" t="s">
        <v>357</v>
      </c>
      <c r="E48" t="s">
        <v>356</v>
      </c>
      <c r="F48" t="s">
        <v>664</v>
      </c>
      <c r="G48" t="s">
        <v>665</v>
      </c>
      <c r="H48" t="s">
        <v>888</v>
      </c>
      <c r="I48" t="s">
        <v>889</v>
      </c>
      <c r="J48" t="s">
        <v>890</v>
      </c>
      <c r="K48" t="s">
        <v>891</v>
      </c>
      <c r="L48" t="s">
        <v>593</v>
      </c>
      <c r="M48" t="s">
        <v>593</v>
      </c>
      <c r="N48" t="s">
        <v>593</v>
      </c>
      <c r="O48" t="s">
        <v>594</v>
      </c>
      <c r="P48" t="s">
        <v>594</v>
      </c>
      <c r="Q48" t="s">
        <v>594</v>
      </c>
      <c r="R48" t="s">
        <v>594</v>
      </c>
      <c r="S48" t="s">
        <v>594</v>
      </c>
      <c r="T48">
        <v>47</v>
      </c>
      <c r="U48" t="s">
        <v>597</v>
      </c>
      <c r="V48" t="s">
        <v>598</v>
      </c>
      <c r="W48" t="s">
        <v>598</v>
      </c>
      <c r="X48" t="s">
        <v>625</v>
      </c>
      <c r="Y48" t="s">
        <v>600</v>
      </c>
      <c r="AB48" t="s">
        <v>600</v>
      </c>
      <c r="AC48" t="s">
        <v>600</v>
      </c>
      <c r="AI48" t="s">
        <v>601</v>
      </c>
      <c r="AJ48" t="s">
        <v>601</v>
      </c>
    </row>
    <row r="49" spans="1:36">
      <c r="A49" t="s">
        <v>892</v>
      </c>
      <c r="B49">
        <v>6</v>
      </c>
      <c r="C49" t="s">
        <v>877</v>
      </c>
      <c r="D49" t="s">
        <v>357</v>
      </c>
      <c r="E49" t="s">
        <v>356</v>
      </c>
      <c r="F49" t="s">
        <v>664</v>
      </c>
      <c r="G49" t="s">
        <v>665</v>
      </c>
      <c r="H49" t="s">
        <v>893</v>
      </c>
      <c r="I49" t="s">
        <v>894</v>
      </c>
      <c r="J49" t="s">
        <v>895</v>
      </c>
      <c r="K49" t="s">
        <v>894</v>
      </c>
      <c r="L49" t="s">
        <v>593</v>
      </c>
      <c r="M49" t="s">
        <v>593</v>
      </c>
      <c r="N49" t="s">
        <v>593</v>
      </c>
      <c r="O49" t="s">
        <v>594</v>
      </c>
      <c r="P49" t="s">
        <v>594</v>
      </c>
      <c r="Q49" t="s">
        <v>594</v>
      </c>
      <c r="R49" t="s">
        <v>594</v>
      </c>
      <c r="S49" t="s">
        <v>594</v>
      </c>
      <c r="T49">
        <v>48</v>
      </c>
      <c r="U49" t="s">
        <v>597</v>
      </c>
      <c r="V49" t="s">
        <v>598</v>
      </c>
      <c r="W49" t="s">
        <v>598</v>
      </c>
      <c r="X49" t="s">
        <v>625</v>
      </c>
      <c r="Y49" t="s">
        <v>600</v>
      </c>
      <c r="AB49" t="s">
        <v>600</v>
      </c>
      <c r="AC49" t="s">
        <v>600</v>
      </c>
      <c r="AI49" t="s">
        <v>601</v>
      </c>
      <c r="AJ49" t="s">
        <v>601</v>
      </c>
    </row>
    <row r="50" spans="1:36">
      <c r="A50" t="s">
        <v>896</v>
      </c>
      <c r="B50">
        <v>6</v>
      </c>
      <c r="C50" t="s">
        <v>877</v>
      </c>
      <c r="D50" t="s">
        <v>357</v>
      </c>
      <c r="E50" t="s">
        <v>356</v>
      </c>
      <c r="F50" t="s">
        <v>664</v>
      </c>
      <c r="G50" t="s">
        <v>665</v>
      </c>
      <c r="H50" t="s">
        <v>897</v>
      </c>
      <c r="I50" t="s">
        <v>898</v>
      </c>
      <c r="J50" t="s">
        <v>899</v>
      </c>
      <c r="K50" t="s">
        <v>900</v>
      </c>
      <c r="L50" t="s">
        <v>593</v>
      </c>
      <c r="M50" t="s">
        <v>593</v>
      </c>
      <c r="N50" t="s">
        <v>593</v>
      </c>
      <c r="O50" t="s">
        <v>594</v>
      </c>
      <c r="P50" t="s">
        <v>594</v>
      </c>
      <c r="Q50" t="s">
        <v>594</v>
      </c>
      <c r="R50" t="s">
        <v>594</v>
      </c>
      <c r="S50" t="s">
        <v>594</v>
      </c>
      <c r="T50">
        <v>49</v>
      </c>
      <c r="U50" t="s">
        <v>597</v>
      </c>
      <c r="V50" t="s">
        <v>598</v>
      </c>
      <c r="W50" t="s">
        <v>598</v>
      </c>
      <c r="X50" t="s">
        <v>625</v>
      </c>
      <c r="Y50" t="s">
        <v>600</v>
      </c>
      <c r="AB50" t="s">
        <v>600</v>
      </c>
      <c r="AC50" t="s">
        <v>600</v>
      </c>
      <c r="AI50" t="s">
        <v>601</v>
      </c>
      <c r="AJ50" t="s">
        <v>601</v>
      </c>
    </row>
    <row r="51" spans="1:36">
      <c r="A51" t="s">
        <v>901</v>
      </c>
      <c r="B51">
        <v>6</v>
      </c>
      <c r="C51" t="s">
        <v>877</v>
      </c>
      <c r="D51" t="s">
        <v>357</v>
      </c>
      <c r="E51" t="s">
        <v>634</v>
      </c>
      <c r="F51" t="s">
        <v>587</v>
      </c>
      <c r="G51" t="s">
        <v>588</v>
      </c>
      <c r="H51" t="s">
        <v>902</v>
      </c>
      <c r="I51" t="s">
        <v>903</v>
      </c>
      <c r="J51" t="s">
        <v>904</v>
      </c>
      <c r="K51" t="s">
        <v>905</v>
      </c>
      <c r="L51" t="s">
        <v>594</v>
      </c>
      <c r="M51" t="s">
        <v>593</v>
      </c>
      <c r="N51" t="s">
        <v>593</v>
      </c>
      <c r="O51" t="s">
        <v>594</v>
      </c>
      <c r="P51" t="s">
        <v>594</v>
      </c>
      <c r="Q51" t="s">
        <v>594</v>
      </c>
      <c r="R51" t="s">
        <v>594</v>
      </c>
      <c r="S51" t="s">
        <v>594</v>
      </c>
      <c r="T51">
        <v>50</v>
      </c>
      <c r="U51" t="s">
        <v>597</v>
      </c>
      <c r="V51" t="s">
        <v>598</v>
      </c>
      <c r="W51" t="s">
        <v>598</v>
      </c>
      <c r="X51" t="s">
        <v>625</v>
      </c>
      <c r="Y51" t="s">
        <v>600</v>
      </c>
      <c r="AB51" t="s">
        <v>600</v>
      </c>
      <c r="AC51" t="s">
        <v>600</v>
      </c>
      <c r="AI51" t="s">
        <v>601</v>
      </c>
      <c r="AJ51" t="s">
        <v>601</v>
      </c>
    </row>
    <row r="52" spans="1:36">
      <c r="A52" t="s">
        <v>906</v>
      </c>
      <c r="B52">
        <v>6</v>
      </c>
      <c r="C52" t="s">
        <v>877</v>
      </c>
      <c r="D52" t="s">
        <v>357</v>
      </c>
      <c r="E52" t="s">
        <v>356</v>
      </c>
      <c r="F52" t="s">
        <v>664</v>
      </c>
      <c r="G52" t="s">
        <v>665</v>
      </c>
      <c r="H52" t="s">
        <v>907</v>
      </c>
      <c r="I52" t="s">
        <v>908</v>
      </c>
      <c r="J52" t="s">
        <v>909</v>
      </c>
      <c r="K52" t="s">
        <v>910</v>
      </c>
      <c r="L52" t="s">
        <v>594</v>
      </c>
      <c r="M52" t="s">
        <v>593</v>
      </c>
      <c r="N52" t="s">
        <v>593</v>
      </c>
      <c r="O52" t="s">
        <v>594</v>
      </c>
      <c r="P52" t="s">
        <v>594</v>
      </c>
      <c r="Q52" t="s">
        <v>594</v>
      </c>
      <c r="R52" t="s">
        <v>594</v>
      </c>
      <c r="S52" t="s">
        <v>594</v>
      </c>
      <c r="T52">
        <v>51</v>
      </c>
      <c r="U52" t="s">
        <v>597</v>
      </c>
      <c r="V52" t="s">
        <v>598</v>
      </c>
      <c r="W52" t="s">
        <v>598</v>
      </c>
      <c r="X52" t="s">
        <v>625</v>
      </c>
      <c r="Y52" t="s">
        <v>600</v>
      </c>
      <c r="AB52" t="s">
        <v>600</v>
      </c>
      <c r="AC52" t="s">
        <v>600</v>
      </c>
      <c r="AI52" t="s">
        <v>601</v>
      </c>
      <c r="AJ52" t="s">
        <v>601</v>
      </c>
    </row>
    <row r="53" spans="1:36">
      <c r="A53" t="s">
        <v>911</v>
      </c>
      <c r="B53">
        <v>6</v>
      </c>
      <c r="C53" t="s">
        <v>877</v>
      </c>
      <c r="D53" t="s">
        <v>349</v>
      </c>
      <c r="E53" t="s">
        <v>356</v>
      </c>
      <c r="F53" t="s">
        <v>664</v>
      </c>
      <c r="G53" t="s">
        <v>690</v>
      </c>
      <c r="H53" t="s">
        <v>912</v>
      </c>
      <c r="I53" t="s">
        <v>913</v>
      </c>
      <c r="J53" t="s">
        <v>914</v>
      </c>
      <c r="K53" t="s">
        <v>915</v>
      </c>
      <c r="L53" t="s">
        <v>594</v>
      </c>
      <c r="M53" t="s">
        <v>594</v>
      </c>
      <c r="N53" t="s">
        <v>593</v>
      </c>
      <c r="O53" t="s">
        <v>594</v>
      </c>
      <c r="P53" t="s">
        <v>594</v>
      </c>
      <c r="Q53" t="s">
        <v>594</v>
      </c>
      <c r="R53" t="s">
        <v>594</v>
      </c>
      <c r="S53" t="s">
        <v>594</v>
      </c>
      <c r="T53">
        <v>52</v>
      </c>
      <c r="U53" t="s">
        <v>597</v>
      </c>
      <c r="V53" t="s">
        <v>598</v>
      </c>
      <c r="W53" t="s">
        <v>598</v>
      </c>
      <c r="X53" t="s">
        <v>625</v>
      </c>
      <c r="Y53" t="s">
        <v>600</v>
      </c>
      <c r="AB53" t="s">
        <v>600</v>
      </c>
      <c r="AC53" t="s">
        <v>600</v>
      </c>
      <c r="AI53" t="s">
        <v>601</v>
      </c>
      <c r="AJ53" t="s">
        <v>601</v>
      </c>
    </row>
    <row r="54" spans="1:36">
      <c r="A54" t="s">
        <v>916</v>
      </c>
      <c r="B54">
        <v>7</v>
      </c>
      <c r="C54" t="s">
        <v>917</v>
      </c>
      <c r="D54" t="s">
        <v>633</v>
      </c>
      <c r="E54" t="s">
        <v>773</v>
      </c>
      <c r="F54" t="s">
        <v>664</v>
      </c>
      <c r="G54" t="s">
        <v>690</v>
      </c>
      <c r="H54" t="s">
        <v>918</v>
      </c>
      <c r="I54" t="s">
        <v>919</v>
      </c>
      <c r="J54" t="s">
        <v>920</v>
      </c>
      <c r="K54" t="s">
        <v>921</v>
      </c>
      <c r="L54" t="s">
        <v>593</v>
      </c>
      <c r="M54" t="s">
        <v>593</v>
      </c>
      <c r="N54" t="s">
        <v>593</v>
      </c>
      <c r="O54" t="s">
        <v>594</v>
      </c>
      <c r="P54" t="s">
        <v>594</v>
      </c>
      <c r="Q54" t="s">
        <v>594</v>
      </c>
      <c r="R54" t="s">
        <v>594</v>
      </c>
      <c r="S54" t="s">
        <v>594</v>
      </c>
      <c r="T54">
        <v>53</v>
      </c>
      <c r="U54" t="s">
        <v>597</v>
      </c>
      <c r="V54" t="s">
        <v>598</v>
      </c>
      <c r="W54" t="s">
        <v>598</v>
      </c>
      <c r="X54" t="s">
        <v>625</v>
      </c>
      <c r="Y54" t="s">
        <v>600</v>
      </c>
      <c r="AB54" t="s">
        <v>600</v>
      </c>
      <c r="AC54" t="s">
        <v>600</v>
      </c>
      <c r="AI54" t="s">
        <v>601</v>
      </c>
      <c r="AJ54" t="s">
        <v>601</v>
      </c>
    </row>
    <row r="55" spans="1:36">
      <c r="A55" t="s">
        <v>922</v>
      </c>
      <c r="B55">
        <v>7</v>
      </c>
      <c r="C55" t="s">
        <v>917</v>
      </c>
      <c r="D55" t="s">
        <v>633</v>
      </c>
      <c r="E55" t="s">
        <v>773</v>
      </c>
      <c r="F55" t="s">
        <v>603</v>
      </c>
      <c r="G55" t="s">
        <v>690</v>
      </c>
      <c r="H55" t="s">
        <v>923</v>
      </c>
      <c r="I55" t="s">
        <v>924</v>
      </c>
      <c r="J55" t="s">
        <v>925</v>
      </c>
      <c r="K55" t="s">
        <v>926</v>
      </c>
      <c r="L55" t="s">
        <v>593</v>
      </c>
      <c r="M55" t="s">
        <v>593</v>
      </c>
      <c r="N55" t="s">
        <v>593</v>
      </c>
      <c r="O55" t="s">
        <v>594</v>
      </c>
      <c r="P55" t="s">
        <v>594</v>
      </c>
      <c r="Q55" t="s">
        <v>594</v>
      </c>
      <c r="R55" t="s">
        <v>594</v>
      </c>
      <c r="S55" t="s">
        <v>594</v>
      </c>
      <c r="T55">
        <v>54</v>
      </c>
      <c r="U55" t="s">
        <v>597</v>
      </c>
      <c r="V55" t="s">
        <v>598</v>
      </c>
      <c r="W55" t="s">
        <v>598</v>
      </c>
      <c r="X55" t="s">
        <v>625</v>
      </c>
      <c r="Y55" t="s">
        <v>600</v>
      </c>
      <c r="AB55" t="s">
        <v>600</v>
      </c>
      <c r="AC55" t="s">
        <v>600</v>
      </c>
      <c r="AI55" t="s">
        <v>601</v>
      </c>
      <c r="AJ55" t="s">
        <v>601</v>
      </c>
    </row>
    <row r="56" spans="1:36">
      <c r="A56" t="s">
        <v>927</v>
      </c>
      <c r="B56">
        <v>7</v>
      </c>
      <c r="C56" t="s">
        <v>917</v>
      </c>
      <c r="D56" t="s">
        <v>633</v>
      </c>
      <c r="E56" t="s">
        <v>634</v>
      </c>
      <c r="F56" t="s">
        <v>664</v>
      </c>
      <c r="G56" t="s">
        <v>665</v>
      </c>
      <c r="H56" t="s">
        <v>928</v>
      </c>
      <c r="I56" t="s">
        <v>929</v>
      </c>
      <c r="J56" t="s">
        <v>930</v>
      </c>
      <c r="K56" t="s">
        <v>931</v>
      </c>
      <c r="L56" t="s">
        <v>593</v>
      </c>
      <c r="M56" t="s">
        <v>593</v>
      </c>
      <c r="N56" t="s">
        <v>593</v>
      </c>
      <c r="O56" t="s">
        <v>594</v>
      </c>
      <c r="P56" t="s">
        <v>594</v>
      </c>
      <c r="Q56" t="s">
        <v>594</v>
      </c>
      <c r="R56" t="s">
        <v>594</v>
      </c>
      <c r="S56" t="s">
        <v>594</v>
      </c>
      <c r="T56">
        <v>55</v>
      </c>
      <c r="U56" t="s">
        <v>597</v>
      </c>
      <c r="V56" t="s">
        <v>598</v>
      </c>
      <c r="W56" t="s">
        <v>598</v>
      </c>
      <c r="X56" t="s">
        <v>625</v>
      </c>
      <c r="Y56" t="s">
        <v>600</v>
      </c>
      <c r="AB56" t="s">
        <v>600</v>
      </c>
      <c r="AC56" t="s">
        <v>600</v>
      </c>
      <c r="AI56" t="s">
        <v>601</v>
      </c>
      <c r="AJ56" t="s">
        <v>601</v>
      </c>
    </row>
    <row r="57" spans="1:36">
      <c r="A57" t="s">
        <v>932</v>
      </c>
      <c r="B57">
        <v>7</v>
      </c>
      <c r="C57" t="s">
        <v>917</v>
      </c>
      <c r="D57" t="s">
        <v>633</v>
      </c>
      <c r="E57" t="s">
        <v>634</v>
      </c>
      <c r="F57" t="s">
        <v>664</v>
      </c>
      <c r="G57" t="s">
        <v>665</v>
      </c>
      <c r="H57" t="s">
        <v>933</v>
      </c>
      <c r="I57" t="s">
        <v>934</v>
      </c>
      <c r="J57" t="s">
        <v>935</v>
      </c>
      <c r="K57" t="s">
        <v>936</v>
      </c>
      <c r="L57" t="s">
        <v>593</v>
      </c>
      <c r="M57" t="s">
        <v>593</v>
      </c>
      <c r="N57" t="s">
        <v>593</v>
      </c>
      <c r="O57" t="s">
        <v>594</v>
      </c>
      <c r="P57" t="s">
        <v>594</v>
      </c>
      <c r="Q57" t="s">
        <v>594</v>
      </c>
      <c r="R57" t="s">
        <v>594</v>
      </c>
      <c r="S57" t="s">
        <v>594</v>
      </c>
      <c r="T57">
        <v>56</v>
      </c>
      <c r="U57" t="s">
        <v>597</v>
      </c>
      <c r="V57" t="s">
        <v>598</v>
      </c>
      <c r="W57" t="s">
        <v>598</v>
      </c>
      <c r="X57" t="s">
        <v>625</v>
      </c>
      <c r="Y57" t="s">
        <v>600</v>
      </c>
      <c r="AB57" t="s">
        <v>600</v>
      </c>
      <c r="AC57" t="s">
        <v>600</v>
      </c>
      <c r="AI57" t="s">
        <v>601</v>
      </c>
      <c r="AJ57" t="s">
        <v>601</v>
      </c>
    </row>
    <row r="58" spans="1:36">
      <c r="A58" t="s">
        <v>937</v>
      </c>
      <c r="B58">
        <v>7</v>
      </c>
      <c r="C58" t="s">
        <v>917</v>
      </c>
      <c r="D58" t="s">
        <v>633</v>
      </c>
      <c r="E58" t="s">
        <v>634</v>
      </c>
      <c r="F58" t="s">
        <v>587</v>
      </c>
      <c r="G58" t="s">
        <v>588</v>
      </c>
      <c r="H58" t="s">
        <v>938</v>
      </c>
      <c r="I58" t="s">
        <v>939</v>
      </c>
      <c r="J58" t="s">
        <v>940</v>
      </c>
      <c r="K58" t="s">
        <v>941</v>
      </c>
      <c r="L58" t="s">
        <v>594</v>
      </c>
      <c r="M58" t="s">
        <v>593</v>
      </c>
      <c r="N58" t="s">
        <v>593</v>
      </c>
      <c r="O58" t="s">
        <v>594</v>
      </c>
      <c r="P58" t="s">
        <v>594</v>
      </c>
      <c r="Q58" t="s">
        <v>594</v>
      </c>
      <c r="R58" t="s">
        <v>594</v>
      </c>
      <c r="S58" t="s">
        <v>594</v>
      </c>
      <c r="T58">
        <v>57</v>
      </c>
      <c r="U58" t="s">
        <v>597</v>
      </c>
      <c r="V58" t="s">
        <v>598</v>
      </c>
      <c r="W58" t="s">
        <v>598</v>
      </c>
      <c r="X58" t="s">
        <v>625</v>
      </c>
      <c r="Y58" t="s">
        <v>600</v>
      </c>
      <c r="AB58" t="s">
        <v>600</v>
      </c>
      <c r="AC58" t="s">
        <v>600</v>
      </c>
      <c r="AI58" t="s">
        <v>601</v>
      </c>
      <c r="AJ58" t="s">
        <v>601</v>
      </c>
    </row>
    <row r="59" spans="1:36">
      <c r="A59" t="s">
        <v>942</v>
      </c>
      <c r="B59">
        <v>7</v>
      </c>
      <c r="C59" t="s">
        <v>917</v>
      </c>
      <c r="D59" t="s">
        <v>633</v>
      </c>
      <c r="E59" t="s">
        <v>634</v>
      </c>
      <c r="F59" t="s">
        <v>587</v>
      </c>
      <c r="G59" t="s">
        <v>588</v>
      </c>
      <c r="H59" t="s">
        <v>943</v>
      </c>
      <c r="I59" t="s">
        <v>943</v>
      </c>
      <c r="J59" t="s">
        <v>944</v>
      </c>
      <c r="K59" t="s">
        <v>945</v>
      </c>
      <c r="L59" t="s">
        <v>594</v>
      </c>
      <c r="M59" t="s">
        <v>593</v>
      </c>
      <c r="N59" t="s">
        <v>593</v>
      </c>
      <c r="O59" t="s">
        <v>594</v>
      </c>
      <c r="P59" t="s">
        <v>594</v>
      </c>
      <c r="Q59" t="s">
        <v>594</v>
      </c>
      <c r="R59" t="s">
        <v>594</v>
      </c>
      <c r="S59" t="s">
        <v>594</v>
      </c>
      <c r="T59">
        <v>58</v>
      </c>
      <c r="U59" t="s">
        <v>597</v>
      </c>
      <c r="V59" t="s">
        <v>598</v>
      </c>
      <c r="W59" t="s">
        <v>598</v>
      </c>
      <c r="X59" t="s">
        <v>625</v>
      </c>
      <c r="Y59" t="s">
        <v>600</v>
      </c>
      <c r="AB59" t="s">
        <v>600</v>
      </c>
      <c r="AC59" t="s">
        <v>600</v>
      </c>
      <c r="AI59" t="s">
        <v>601</v>
      </c>
      <c r="AJ59" t="s">
        <v>601</v>
      </c>
    </row>
    <row r="60" spans="1:36">
      <c r="A60" t="s">
        <v>946</v>
      </c>
      <c r="B60">
        <v>7</v>
      </c>
      <c r="C60" t="s">
        <v>917</v>
      </c>
      <c r="D60" t="s">
        <v>633</v>
      </c>
      <c r="E60" t="s">
        <v>634</v>
      </c>
      <c r="F60" t="s">
        <v>603</v>
      </c>
      <c r="G60" t="s">
        <v>604</v>
      </c>
      <c r="H60" t="s">
        <v>947</v>
      </c>
      <c r="I60" t="s">
        <v>948</v>
      </c>
      <c r="J60" t="s">
        <v>949</v>
      </c>
      <c r="K60" t="s">
        <v>950</v>
      </c>
      <c r="L60" t="s">
        <v>594</v>
      </c>
      <c r="M60" t="s">
        <v>593</v>
      </c>
      <c r="N60" t="s">
        <v>593</v>
      </c>
      <c r="O60" t="s">
        <v>594</v>
      </c>
      <c r="P60" t="s">
        <v>594</v>
      </c>
      <c r="Q60" t="s">
        <v>594</v>
      </c>
      <c r="R60" t="s">
        <v>594</v>
      </c>
      <c r="S60" t="s">
        <v>594</v>
      </c>
      <c r="T60">
        <v>59</v>
      </c>
      <c r="U60" t="s">
        <v>597</v>
      </c>
      <c r="V60" t="s">
        <v>598</v>
      </c>
      <c r="W60" t="s">
        <v>598</v>
      </c>
      <c r="X60" t="s">
        <v>625</v>
      </c>
      <c r="Y60" t="s">
        <v>600</v>
      </c>
      <c r="AB60" t="s">
        <v>600</v>
      </c>
      <c r="AC60" t="s">
        <v>600</v>
      </c>
      <c r="AI60" t="s">
        <v>601</v>
      </c>
      <c r="AJ60" t="s">
        <v>601</v>
      </c>
    </row>
    <row r="61" spans="1:36">
      <c r="A61" t="s">
        <v>951</v>
      </c>
      <c r="B61">
        <v>8</v>
      </c>
      <c r="C61" t="s">
        <v>952</v>
      </c>
      <c r="D61" t="s">
        <v>752</v>
      </c>
      <c r="E61" t="s">
        <v>773</v>
      </c>
      <c r="F61" t="s">
        <v>664</v>
      </c>
      <c r="G61" t="s">
        <v>690</v>
      </c>
      <c r="H61" t="s">
        <v>953</v>
      </c>
      <c r="I61" t="s">
        <v>954</v>
      </c>
      <c r="J61" t="s">
        <v>955</v>
      </c>
      <c r="K61" t="s">
        <v>956</v>
      </c>
      <c r="L61" t="s">
        <v>593</v>
      </c>
      <c r="M61" t="s">
        <v>593</v>
      </c>
      <c r="N61" t="s">
        <v>593</v>
      </c>
      <c r="O61" t="s">
        <v>594</v>
      </c>
      <c r="P61" t="s">
        <v>594</v>
      </c>
      <c r="Q61" t="s">
        <v>594</v>
      </c>
      <c r="R61" t="s">
        <v>594</v>
      </c>
      <c r="S61" t="s">
        <v>594</v>
      </c>
      <c r="T61">
        <v>60</v>
      </c>
      <c r="U61" t="s">
        <v>597</v>
      </c>
      <c r="V61" t="s">
        <v>598</v>
      </c>
      <c r="W61" t="s">
        <v>598</v>
      </c>
      <c r="X61" t="s">
        <v>625</v>
      </c>
      <c r="Y61" t="s">
        <v>600</v>
      </c>
      <c r="AB61" t="s">
        <v>600</v>
      </c>
      <c r="AC61" t="s">
        <v>600</v>
      </c>
      <c r="AI61" t="s">
        <v>601</v>
      </c>
      <c r="AJ61" t="s">
        <v>601</v>
      </c>
    </row>
    <row r="62" spans="1:36">
      <c r="A62" t="s">
        <v>957</v>
      </c>
      <c r="B62">
        <v>8</v>
      </c>
      <c r="C62" t="s">
        <v>952</v>
      </c>
      <c r="D62" t="s">
        <v>752</v>
      </c>
      <c r="E62" t="s">
        <v>689</v>
      </c>
      <c r="F62" t="s">
        <v>613</v>
      </c>
      <c r="G62" t="s">
        <v>614</v>
      </c>
      <c r="H62" t="s">
        <v>958</v>
      </c>
      <c r="I62" t="s">
        <v>959</v>
      </c>
      <c r="J62" t="s">
        <v>960</v>
      </c>
      <c r="K62" t="s">
        <v>961</v>
      </c>
      <c r="L62" t="s">
        <v>593</v>
      </c>
      <c r="M62" t="s">
        <v>593</v>
      </c>
      <c r="N62" t="s">
        <v>593</v>
      </c>
      <c r="O62" t="s">
        <v>594</v>
      </c>
      <c r="P62" t="s">
        <v>594</v>
      </c>
      <c r="Q62" t="s">
        <v>594</v>
      </c>
      <c r="R62" t="s">
        <v>594</v>
      </c>
      <c r="S62" t="s">
        <v>594</v>
      </c>
      <c r="T62">
        <v>61</v>
      </c>
      <c r="U62" t="s">
        <v>597</v>
      </c>
      <c r="V62" t="s">
        <v>598</v>
      </c>
      <c r="W62" t="s">
        <v>598</v>
      </c>
      <c r="X62" t="s">
        <v>625</v>
      </c>
      <c r="Y62" t="s">
        <v>600</v>
      </c>
      <c r="AB62" t="s">
        <v>600</v>
      </c>
      <c r="AC62" t="s">
        <v>600</v>
      </c>
      <c r="AI62" t="s">
        <v>601</v>
      </c>
      <c r="AJ62" t="s">
        <v>601</v>
      </c>
    </row>
    <row r="63" spans="1:36">
      <c r="A63" t="s">
        <v>962</v>
      </c>
      <c r="B63">
        <v>8</v>
      </c>
      <c r="C63" t="s">
        <v>952</v>
      </c>
      <c r="D63" t="s">
        <v>752</v>
      </c>
      <c r="E63" t="s">
        <v>689</v>
      </c>
      <c r="F63" t="s">
        <v>664</v>
      </c>
      <c r="G63" t="s">
        <v>665</v>
      </c>
      <c r="H63" t="s">
        <v>963</v>
      </c>
      <c r="I63" t="s">
        <v>964</v>
      </c>
      <c r="J63" t="s">
        <v>965</v>
      </c>
      <c r="K63" t="s">
        <v>966</v>
      </c>
      <c r="L63" t="s">
        <v>593</v>
      </c>
      <c r="M63" t="s">
        <v>593</v>
      </c>
      <c r="N63" t="s">
        <v>593</v>
      </c>
      <c r="O63" t="s">
        <v>594</v>
      </c>
      <c r="P63" t="s">
        <v>594</v>
      </c>
      <c r="Q63" t="s">
        <v>594</v>
      </c>
      <c r="R63" t="s">
        <v>594</v>
      </c>
      <c r="S63" t="s">
        <v>594</v>
      </c>
      <c r="T63">
        <v>62</v>
      </c>
      <c r="U63" t="s">
        <v>597</v>
      </c>
      <c r="V63" t="s">
        <v>598</v>
      </c>
      <c r="W63" t="s">
        <v>598</v>
      </c>
      <c r="X63" t="s">
        <v>625</v>
      </c>
      <c r="Y63" t="s">
        <v>600</v>
      </c>
      <c r="AB63" t="s">
        <v>600</v>
      </c>
      <c r="AC63" t="s">
        <v>600</v>
      </c>
      <c r="AI63" t="s">
        <v>601</v>
      </c>
      <c r="AJ63" t="s">
        <v>601</v>
      </c>
    </row>
    <row r="64" spans="1:36">
      <c r="A64" t="s">
        <v>967</v>
      </c>
      <c r="B64">
        <v>8</v>
      </c>
      <c r="C64" t="s">
        <v>952</v>
      </c>
      <c r="D64" t="s">
        <v>752</v>
      </c>
      <c r="E64" t="s">
        <v>689</v>
      </c>
      <c r="F64" t="s">
        <v>664</v>
      </c>
      <c r="G64" t="s">
        <v>665</v>
      </c>
      <c r="H64" t="s">
        <v>968</v>
      </c>
      <c r="I64" t="s">
        <v>969</v>
      </c>
      <c r="J64" t="s">
        <v>970</v>
      </c>
      <c r="K64" t="s">
        <v>971</v>
      </c>
      <c r="L64" t="s">
        <v>594</v>
      </c>
      <c r="M64" t="s">
        <v>593</v>
      </c>
      <c r="N64" t="s">
        <v>593</v>
      </c>
      <c r="O64" t="s">
        <v>594</v>
      </c>
      <c r="P64" t="s">
        <v>594</v>
      </c>
      <c r="Q64" t="s">
        <v>594</v>
      </c>
      <c r="R64" t="s">
        <v>594</v>
      </c>
      <c r="S64" t="s">
        <v>594</v>
      </c>
      <c r="T64">
        <v>63</v>
      </c>
      <c r="U64" t="s">
        <v>597</v>
      </c>
      <c r="V64" t="s">
        <v>598</v>
      </c>
      <c r="W64" t="s">
        <v>598</v>
      </c>
      <c r="X64" t="s">
        <v>625</v>
      </c>
      <c r="Y64" t="s">
        <v>600</v>
      </c>
      <c r="AB64" t="s">
        <v>600</v>
      </c>
      <c r="AC64" t="s">
        <v>600</v>
      </c>
      <c r="AI64" t="s">
        <v>601</v>
      </c>
      <c r="AJ64" t="s">
        <v>601</v>
      </c>
    </row>
    <row r="65" spans="1:36">
      <c r="A65" t="s">
        <v>972</v>
      </c>
      <c r="B65">
        <v>8</v>
      </c>
      <c r="C65" t="s">
        <v>952</v>
      </c>
      <c r="D65" t="s">
        <v>752</v>
      </c>
      <c r="E65" t="s">
        <v>689</v>
      </c>
      <c r="F65" t="s">
        <v>613</v>
      </c>
      <c r="G65" t="s">
        <v>614</v>
      </c>
      <c r="H65" t="s">
        <v>973</v>
      </c>
      <c r="I65" t="s">
        <v>974</v>
      </c>
      <c r="J65" t="s">
        <v>975</v>
      </c>
      <c r="K65" t="s">
        <v>976</v>
      </c>
      <c r="L65" t="s">
        <v>594</v>
      </c>
      <c r="M65" t="s">
        <v>593</v>
      </c>
      <c r="N65" t="s">
        <v>593</v>
      </c>
      <c r="O65" t="s">
        <v>594</v>
      </c>
      <c r="P65" t="s">
        <v>594</v>
      </c>
      <c r="Q65" t="s">
        <v>594</v>
      </c>
      <c r="R65" t="s">
        <v>594</v>
      </c>
      <c r="S65" t="s">
        <v>594</v>
      </c>
      <c r="T65">
        <v>64</v>
      </c>
      <c r="U65" t="s">
        <v>597</v>
      </c>
      <c r="V65" t="s">
        <v>598</v>
      </c>
      <c r="W65" t="s">
        <v>598</v>
      </c>
      <c r="X65" t="s">
        <v>625</v>
      </c>
      <c r="Y65" t="s">
        <v>600</v>
      </c>
      <c r="AB65" t="s">
        <v>600</v>
      </c>
      <c r="AC65" t="s">
        <v>600</v>
      </c>
      <c r="AI65" t="s">
        <v>601</v>
      </c>
      <c r="AJ65" t="s">
        <v>601</v>
      </c>
    </row>
    <row r="66" spans="1:36">
      <c r="A66" t="s">
        <v>977</v>
      </c>
      <c r="B66">
        <v>8</v>
      </c>
      <c r="C66" t="s">
        <v>952</v>
      </c>
      <c r="D66" t="s">
        <v>752</v>
      </c>
      <c r="E66" t="s">
        <v>689</v>
      </c>
      <c r="F66" t="s">
        <v>613</v>
      </c>
      <c r="G66" t="s">
        <v>614</v>
      </c>
      <c r="H66" t="s">
        <v>978</v>
      </c>
      <c r="I66" t="s">
        <v>979</v>
      </c>
      <c r="J66" t="s">
        <v>980</v>
      </c>
      <c r="K66" t="s">
        <v>981</v>
      </c>
      <c r="L66" t="s">
        <v>594</v>
      </c>
      <c r="M66" t="s">
        <v>593</v>
      </c>
      <c r="N66" t="s">
        <v>593</v>
      </c>
      <c r="O66" t="s">
        <v>594</v>
      </c>
      <c r="P66" t="s">
        <v>594</v>
      </c>
      <c r="Q66" t="s">
        <v>594</v>
      </c>
      <c r="R66" t="s">
        <v>594</v>
      </c>
      <c r="S66" t="s">
        <v>594</v>
      </c>
      <c r="T66">
        <v>65</v>
      </c>
      <c r="U66" t="s">
        <v>597</v>
      </c>
      <c r="V66" t="s">
        <v>598</v>
      </c>
      <c r="W66" t="s">
        <v>598</v>
      </c>
      <c r="X66" t="s">
        <v>625</v>
      </c>
      <c r="Y66" t="s">
        <v>600</v>
      </c>
      <c r="AB66" t="s">
        <v>600</v>
      </c>
      <c r="AC66" t="s">
        <v>600</v>
      </c>
      <c r="AI66" t="s">
        <v>601</v>
      </c>
      <c r="AJ66" t="s">
        <v>601</v>
      </c>
    </row>
    <row r="67" spans="1:36">
      <c r="A67" t="s">
        <v>982</v>
      </c>
      <c r="B67">
        <v>8</v>
      </c>
      <c r="C67" t="s">
        <v>952</v>
      </c>
      <c r="D67" t="s">
        <v>752</v>
      </c>
      <c r="E67" t="s">
        <v>689</v>
      </c>
      <c r="F67" t="s">
        <v>613</v>
      </c>
      <c r="G67" t="s">
        <v>614</v>
      </c>
      <c r="H67" t="s">
        <v>983</v>
      </c>
      <c r="I67" t="s">
        <v>984</v>
      </c>
      <c r="J67" t="s">
        <v>985</v>
      </c>
      <c r="K67" t="s">
        <v>986</v>
      </c>
      <c r="L67" t="s">
        <v>594</v>
      </c>
      <c r="M67" t="s">
        <v>593</v>
      </c>
      <c r="N67" t="s">
        <v>593</v>
      </c>
      <c r="O67" t="s">
        <v>594</v>
      </c>
      <c r="P67" t="s">
        <v>594</v>
      </c>
      <c r="Q67" t="s">
        <v>594</v>
      </c>
      <c r="R67" t="s">
        <v>594</v>
      </c>
      <c r="S67" t="s">
        <v>594</v>
      </c>
      <c r="T67">
        <v>66</v>
      </c>
      <c r="U67" t="s">
        <v>597</v>
      </c>
      <c r="V67" t="s">
        <v>598</v>
      </c>
      <c r="W67" t="s">
        <v>598</v>
      </c>
      <c r="X67" t="s">
        <v>625</v>
      </c>
      <c r="Y67" t="s">
        <v>600</v>
      </c>
      <c r="AB67" t="s">
        <v>600</v>
      </c>
      <c r="AC67" t="s">
        <v>600</v>
      </c>
      <c r="AI67" t="s">
        <v>601</v>
      </c>
      <c r="AJ67" t="s">
        <v>601</v>
      </c>
    </row>
    <row r="68" spans="1:36">
      <c r="A68" t="s">
        <v>987</v>
      </c>
      <c r="B68">
        <v>8</v>
      </c>
      <c r="C68" t="s">
        <v>952</v>
      </c>
      <c r="D68" t="s">
        <v>752</v>
      </c>
      <c r="E68" t="s">
        <v>689</v>
      </c>
      <c r="F68" t="s">
        <v>613</v>
      </c>
      <c r="G68" t="s">
        <v>614</v>
      </c>
      <c r="H68" t="s">
        <v>988</v>
      </c>
      <c r="I68" t="s">
        <v>989</v>
      </c>
      <c r="J68" t="s">
        <v>990</v>
      </c>
      <c r="K68" t="s">
        <v>991</v>
      </c>
      <c r="L68" t="s">
        <v>594</v>
      </c>
      <c r="M68" t="s">
        <v>593</v>
      </c>
      <c r="N68" t="s">
        <v>593</v>
      </c>
      <c r="O68" t="s">
        <v>594</v>
      </c>
      <c r="P68" t="s">
        <v>594</v>
      </c>
      <c r="Q68" t="s">
        <v>594</v>
      </c>
      <c r="R68" t="s">
        <v>594</v>
      </c>
      <c r="S68" t="s">
        <v>594</v>
      </c>
      <c r="T68">
        <v>67</v>
      </c>
      <c r="U68" t="s">
        <v>597</v>
      </c>
      <c r="V68" t="s">
        <v>598</v>
      </c>
      <c r="W68" t="s">
        <v>598</v>
      </c>
      <c r="X68" t="s">
        <v>625</v>
      </c>
      <c r="Y68" t="s">
        <v>600</v>
      </c>
      <c r="AB68" t="s">
        <v>600</v>
      </c>
      <c r="AC68" t="s">
        <v>600</v>
      </c>
      <c r="AI68" t="s">
        <v>601</v>
      </c>
      <c r="AJ68" t="s">
        <v>601</v>
      </c>
    </row>
    <row r="69" spans="1:36">
      <c r="A69" t="s">
        <v>992</v>
      </c>
      <c r="B69">
        <v>8</v>
      </c>
      <c r="C69" t="s">
        <v>952</v>
      </c>
      <c r="D69" t="s">
        <v>585</v>
      </c>
      <c r="E69" t="s">
        <v>689</v>
      </c>
      <c r="F69" t="s">
        <v>613</v>
      </c>
      <c r="G69" t="s">
        <v>614</v>
      </c>
      <c r="H69" t="s">
        <v>993</v>
      </c>
      <c r="I69" t="s">
        <v>994</v>
      </c>
      <c r="J69" t="s">
        <v>995</v>
      </c>
      <c r="K69" t="s">
        <v>996</v>
      </c>
      <c r="L69" t="s">
        <v>594</v>
      </c>
      <c r="M69" t="s">
        <v>593</v>
      </c>
      <c r="N69" t="s">
        <v>593</v>
      </c>
      <c r="O69" t="s">
        <v>594</v>
      </c>
      <c r="P69" t="s">
        <v>594</v>
      </c>
      <c r="Q69" t="s">
        <v>594</v>
      </c>
      <c r="R69" t="s">
        <v>594</v>
      </c>
      <c r="S69" t="s">
        <v>594</v>
      </c>
      <c r="T69">
        <v>68</v>
      </c>
      <c r="U69" t="s">
        <v>597</v>
      </c>
      <c r="V69" t="s">
        <v>598</v>
      </c>
      <c r="W69" t="s">
        <v>598</v>
      </c>
      <c r="X69" t="s">
        <v>625</v>
      </c>
      <c r="Y69" t="s">
        <v>600</v>
      </c>
      <c r="AB69" t="s">
        <v>600</v>
      </c>
      <c r="AC69" t="s">
        <v>600</v>
      </c>
      <c r="AI69" t="s">
        <v>601</v>
      </c>
      <c r="AJ69" t="s">
        <v>601</v>
      </c>
    </row>
    <row r="70" spans="1:36">
      <c r="A70" t="s">
        <v>997</v>
      </c>
      <c r="B70">
        <v>8</v>
      </c>
      <c r="C70" t="s">
        <v>952</v>
      </c>
      <c r="D70" t="s">
        <v>752</v>
      </c>
      <c r="E70" t="s">
        <v>689</v>
      </c>
      <c r="F70" t="s">
        <v>664</v>
      </c>
      <c r="G70" t="s">
        <v>665</v>
      </c>
      <c r="H70" t="s">
        <v>998</v>
      </c>
      <c r="I70" t="s">
        <v>999</v>
      </c>
      <c r="J70" t="s">
        <v>1000</v>
      </c>
      <c r="K70" t="s">
        <v>1001</v>
      </c>
      <c r="L70" t="s">
        <v>594</v>
      </c>
      <c r="M70" t="s">
        <v>593</v>
      </c>
      <c r="N70" t="s">
        <v>593</v>
      </c>
      <c r="O70" t="s">
        <v>594</v>
      </c>
      <c r="P70" t="s">
        <v>594</v>
      </c>
      <c r="Q70" t="s">
        <v>594</v>
      </c>
      <c r="R70" t="s">
        <v>594</v>
      </c>
      <c r="S70" t="s">
        <v>594</v>
      </c>
      <c r="T70">
        <v>69</v>
      </c>
      <c r="U70" t="s">
        <v>597</v>
      </c>
      <c r="V70" t="s">
        <v>598</v>
      </c>
      <c r="W70" t="s">
        <v>598</v>
      </c>
      <c r="X70" t="s">
        <v>625</v>
      </c>
      <c r="Y70" t="s">
        <v>600</v>
      </c>
      <c r="AB70" t="s">
        <v>600</v>
      </c>
      <c r="AC70" t="s">
        <v>600</v>
      </c>
      <c r="AI70" t="s">
        <v>601</v>
      </c>
      <c r="AJ70" t="s">
        <v>601</v>
      </c>
    </row>
    <row r="71" spans="1:36">
      <c r="A71" t="s">
        <v>1002</v>
      </c>
      <c r="B71">
        <v>8</v>
      </c>
      <c r="C71" t="s">
        <v>952</v>
      </c>
      <c r="D71" t="s">
        <v>752</v>
      </c>
      <c r="E71" t="s">
        <v>689</v>
      </c>
      <c r="F71" t="s">
        <v>613</v>
      </c>
      <c r="G71" t="s">
        <v>614</v>
      </c>
      <c r="H71" t="s">
        <v>1003</v>
      </c>
      <c r="I71" t="s">
        <v>1004</v>
      </c>
      <c r="J71" t="s">
        <v>1005</v>
      </c>
      <c r="K71" t="s">
        <v>1006</v>
      </c>
      <c r="L71" t="s">
        <v>594</v>
      </c>
      <c r="M71" t="s">
        <v>593</v>
      </c>
      <c r="N71" t="s">
        <v>593</v>
      </c>
      <c r="O71" t="s">
        <v>594</v>
      </c>
      <c r="P71" t="s">
        <v>594</v>
      </c>
      <c r="Q71" t="s">
        <v>594</v>
      </c>
      <c r="R71" t="s">
        <v>594</v>
      </c>
      <c r="S71" t="s">
        <v>594</v>
      </c>
      <c r="T71">
        <v>70</v>
      </c>
      <c r="U71" t="s">
        <v>597</v>
      </c>
      <c r="V71" t="s">
        <v>598</v>
      </c>
      <c r="W71" t="s">
        <v>598</v>
      </c>
      <c r="X71" t="s">
        <v>625</v>
      </c>
      <c r="Y71" t="s">
        <v>600</v>
      </c>
      <c r="AB71" t="s">
        <v>600</v>
      </c>
      <c r="AC71" t="s">
        <v>600</v>
      </c>
      <c r="AI71" t="s">
        <v>601</v>
      </c>
      <c r="AJ71" t="s">
        <v>601</v>
      </c>
    </row>
    <row r="72" spans="1:36">
      <c r="A72" t="s">
        <v>1007</v>
      </c>
      <c r="B72">
        <v>8</v>
      </c>
      <c r="C72" t="s">
        <v>952</v>
      </c>
      <c r="D72" t="s">
        <v>349</v>
      </c>
      <c r="E72" t="s">
        <v>689</v>
      </c>
      <c r="F72" t="s">
        <v>613</v>
      </c>
      <c r="G72" t="s">
        <v>614</v>
      </c>
      <c r="H72" t="s">
        <v>1008</v>
      </c>
      <c r="I72" t="s">
        <v>1009</v>
      </c>
      <c r="J72" t="s">
        <v>1010</v>
      </c>
      <c r="K72" t="s">
        <v>1011</v>
      </c>
      <c r="L72" t="s">
        <v>594</v>
      </c>
      <c r="M72" t="s">
        <v>594</v>
      </c>
      <c r="N72" t="s">
        <v>593</v>
      </c>
      <c r="O72" t="s">
        <v>594</v>
      </c>
      <c r="P72" t="s">
        <v>594</v>
      </c>
      <c r="Q72" t="s">
        <v>594</v>
      </c>
      <c r="R72" t="s">
        <v>594</v>
      </c>
      <c r="S72" t="s">
        <v>594</v>
      </c>
      <c r="T72">
        <v>71</v>
      </c>
      <c r="U72" t="s">
        <v>597</v>
      </c>
      <c r="V72" t="s">
        <v>598</v>
      </c>
      <c r="W72" t="s">
        <v>598</v>
      </c>
      <c r="X72" t="s">
        <v>625</v>
      </c>
      <c r="Y72" t="s">
        <v>600</v>
      </c>
      <c r="AB72" t="s">
        <v>600</v>
      </c>
      <c r="AC72" t="s">
        <v>600</v>
      </c>
      <c r="AI72" t="s">
        <v>601</v>
      </c>
      <c r="AJ72" t="s">
        <v>601</v>
      </c>
    </row>
    <row r="73" spans="1:36">
      <c r="A73" t="s">
        <v>1012</v>
      </c>
      <c r="B73">
        <v>9</v>
      </c>
      <c r="C73" t="s">
        <v>1013</v>
      </c>
      <c r="D73" t="s">
        <v>633</v>
      </c>
      <c r="E73" t="s">
        <v>634</v>
      </c>
      <c r="F73" t="s">
        <v>664</v>
      </c>
      <c r="G73" t="s">
        <v>665</v>
      </c>
      <c r="H73" t="s">
        <v>1014</v>
      </c>
      <c r="I73" t="s">
        <v>1015</v>
      </c>
      <c r="J73" t="s">
        <v>1016</v>
      </c>
      <c r="K73" t="s">
        <v>1017</v>
      </c>
      <c r="L73" t="s">
        <v>593</v>
      </c>
      <c r="M73" t="s">
        <v>593</v>
      </c>
      <c r="N73" t="s">
        <v>593</v>
      </c>
      <c r="O73" t="s">
        <v>594</v>
      </c>
      <c r="P73" t="s">
        <v>594</v>
      </c>
      <c r="Q73" t="s">
        <v>594</v>
      </c>
      <c r="R73" t="s">
        <v>594</v>
      </c>
      <c r="S73" t="s">
        <v>594</v>
      </c>
      <c r="T73">
        <v>72</v>
      </c>
      <c r="U73" t="s">
        <v>597</v>
      </c>
      <c r="V73" t="s">
        <v>598</v>
      </c>
      <c r="W73" t="s">
        <v>598</v>
      </c>
      <c r="X73" t="s">
        <v>625</v>
      </c>
      <c r="Y73" t="s">
        <v>600</v>
      </c>
      <c r="AB73" t="s">
        <v>600</v>
      </c>
      <c r="AC73" t="s">
        <v>600</v>
      </c>
      <c r="AI73" t="s">
        <v>601</v>
      </c>
      <c r="AJ73" t="s">
        <v>601</v>
      </c>
    </row>
    <row r="74" spans="1:36">
      <c r="A74" t="s">
        <v>1018</v>
      </c>
      <c r="B74">
        <v>9</v>
      </c>
      <c r="C74" t="s">
        <v>1013</v>
      </c>
      <c r="D74" t="s">
        <v>752</v>
      </c>
      <c r="E74" t="s">
        <v>1019</v>
      </c>
      <c r="F74" t="s">
        <v>664</v>
      </c>
      <c r="G74" t="s">
        <v>665</v>
      </c>
      <c r="H74" t="s">
        <v>1020</v>
      </c>
      <c r="I74" t="s">
        <v>1021</v>
      </c>
      <c r="J74" t="s">
        <v>1022</v>
      </c>
      <c r="K74" t="s">
        <v>1023</v>
      </c>
      <c r="L74" t="s">
        <v>593</v>
      </c>
      <c r="M74" t="s">
        <v>593</v>
      </c>
      <c r="N74" t="s">
        <v>593</v>
      </c>
      <c r="O74" t="s">
        <v>594</v>
      </c>
      <c r="P74" t="s">
        <v>594</v>
      </c>
      <c r="Q74" t="s">
        <v>594</v>
      </c>
      <c r="R74" t="s">
        <v>594</v>
      </c>
      <c r="S74" t="s">
        <v>594</v>
      </c>
      <c r="T74">
        <v>73</v>
      </c>
      <c r="U74" t="s">
        <v>597</v>
      </c>
      <c r="V74" t="s">
        <v>598</v>
      </c>
      <c r="W74" t="s">
        <v>598</v>
      </c>
      <c r="X74" t="s">
        <v>625</v>
      </c>
      <c r="Y74" t="s">
        <v>600</v>
      </c>
      <c r="AB74" t="s">
        <v>600</v>
      </c>
      <c r="AC74" t="s">
        <v>600</v>
      </c>
      <c r="AI74" t="s">
        <v>601</v>
      </c>
      <c r="AJ74" t="s">
        <v>601</v>
      </c>
    </row>
    <row r="75" spans="1:36">
      <c r="A75" t="s">
        <v>1024</v>
      </c>
      <c r="B75">
        <v>9</v>
      </c>
      <c r="C75" t="s">
        <v>1013</v>
      </c>
      <c r="D75" t="s">
        <v>752</v>
      </c>
      <c r="E75" t="s">
        <v>1025</v>
      </c>
      <c r="F75" t="s">
        <v>664</v>
      </c>
      <c r="G75" t="s">
        <v>665</v>
      </c>
      <c r="H75" t="s">
        <v>1026</v>
      </c>
      <c r="I75" t="s">
        <v>1027</v>
      </c>
      <c r="J75" t="s">
        <v>1028</v>
      </c>
      <c r="K75" t="s">
        <v>1029</v>
      </c>
      <c r="L75" t="s">
        <v>594</v>
      </c>
      <c r="M75" t="s">
        <v>593</v>
      </c>
      <c r="N75" t="s">
        <v>593</v>
      </c>
      <c r="O75" t="s">
        <v>594</v>
      </c>
      <c r="P75" t="s">
        <v>594</v>
      </c>
      <c r="Q75" t="s">
        <v>594</v>
      </c>
      <c r="R75" t="s">
        <v>594</v>
      </c>
      <c r="S75" t="s">
        <v>594</v>
      </c>
      <c r="T75">
        <v>74</v>
      </c>
      <c r="U75" t="s">
        <v>597</v>
      </c>
      <c r="V75" t="s">
        <v>598</v>
      </c>
      <c r="W75" t="s">
        <v>598</v>
      </c>
      <c r="X75" t="s">
        <v>625</v>
      </c>
      <c r="Y75" t="s">
        <v>600</v>
      </c>
      <c r="AB75" t="s">
        <v>600</v>
      </c>
      <c r="AC75" t="s">
        <v>600</v>
      </c>
      <c r="AI75" t="s">
        <v>601</v>
      </c>
      <c r="AJ75" t="s">
        <v>601</v>
      </c>
    </row>
    <row r="76" spans="1:36">
      <c r="A76" t="s">
        <v>1030</v>
      </c>
      <c r="B76">
        <v>9</v>
      </c>
      <c r="C76" t="s">
        <v>1013</v>
      </c>
      <c r="D76" t="s">
        <v>633</v>
      </c>
      <c r="E76" t="s">
        <v>634</v>
      </c>
      <c r="F76" t="s">
        <v>664</v>
      </c>
      <c r="G76" t="s">
        <v>665</v>
      </c>
      <c r="H76" t="s">
        <v>1031</v>
      </c>
      <c r="I76" t="s">
        <v>1032</v>
      </c>
      <c r="J76" t="s">
        <v>1033</v>
      </c>
      <c r="K76" t="s">
        <v>1034</v>
      </c>
      <c r="L76" t="s">
        <v>594</v>
      </c>
      <c r="M76" t="s">
        <v>593</v>
      </c>
      <c r="N76" t="s">
        <v>593</v>
      </c>
      <c r="O76" t="s">
        <v>594</v>
      </c>
      <c r="P76" t="s">
        <v>594</v>
      </c>
      <c r="Q76" t="s">
        <v>594</v>
      </c>
      <c r="R76" t="s">
        <v>594</v>
      </c>
      <c r="S76" t="s">
        <v>594</v>
      </c>
      <c r="T76">
        <v>75</v>
      </c>
      <c r="U76" t="s">
        <v>597</v>
      </c>
      <c r="V76" t="s">
        <v>598</v>
      </c>
      <c r="W76" t="s">
        <v>598</v>
      </c>
      <c r="X76" t="s">
        <v>625</v>
      </c>
      <c r="Y76" t="s">
        <v>600</v>
      </c>
      <c r="AB76" t="s">
        <v>600</v>
      </c>
      <c r="AC76" t="s">
        <v>600</v>
      </c>
      <c r="AI76" t="s">
        <v>601</v>
      </c>
      <c r="AJ76" t="s">
        <v>601</v>
      </c>
    </row>
    <row r="77" spans="1:36">
      <c r="A77" t="s">
        <v>1035</v>
      </c>
      <c r="B77">
        <v>9</v>
      </c>
      <c r="C77" t="s">
        <v>1013</v>
      </c>
      <c r="D77" t="s">
        <v>752</v>
      </c>
      <c r="E77" t="s">
        <v>1025</v>
      </c>
      <c r="F77" t="s">
        <v>664</v>
      </c>
      <c r="G77" t="s">
        <v>665</v>
      </c>
      <c r="H77" t="s">
        <v>1036</v>
      </c>
      <c r="I77" t="s">
        <v>1037</v>
      </c>
      <c r="J77" t="s">
        <v>1038</v>
      </c>
      <c r="K77" t="s">
        <v>1039</v>
      </c>
      <c r="L77" t="s">
        <v>594</v>
      </c>
      <c r="M77" t="s">
        <v>593</v>
      </c>
      <c r="N77" t="s">
        <v>593</v>
      </c>
      <c r="O77" t="s">
        <v>594</v>
      </c>
      <c r="P77" t="s">
        <v>594</v>
      </c>
      <c r="Q77" t="s">
        <v>594</v>
      </c>
      <c r="R77" t="s">
        <v>594</v>
      </c>
      <c r="S77" t="s">
        <v>594</v>
      </c>
      <c r="T77">
        <v>76</v>
      </c>
      <c r="U77" t="s">
        <v>597</v>
      </c>
      <c r="V77" t="s">
        <v>598</v>
      </c>
      <c r="W77" t="s">
        <v>598</v>
      </c>
      <c r="X77" t="s">
        <v>625</v>
      </c>
      <c r="Y77" t="s">
        <v>600</v>
      </c>
      <c r="AB77" t="s">
        <v>600</v>
      </c>
      <c r="AC77" t="s">
        <v>600</v>
      </c>
      <c r="AI77" t="s">
        <v>601</v>
      </c>
      <c r="AJ77" t="s">
        <v>601</v>
      </c>
    </row>
    <row r="78" spans="1:36">
      <c r="A78" t="s">
        <v>1040</v>
      </c>
      <c r="B78">
        <v>9</v>
      </c>
      <c r="C78" t="s">
        <v>1013</v>
      </c>
      <c r="D78" t="s">
        <v>752</v>
      </c>
      <c r="E78" t="s">
        <v>1025</v>
      </c>
      <c r="F78" t="s">
        <v>664</v>
      </c>
      <c r="G78" t="s">
        <v>665</v>
      </c>
      <c r="H78" t="s">
        <v>1041</v>
      </c>
      <c r="I78" t="s">
        <v>1042</v>
      </c>
      <c r="J78" t="s">
        <v>1043</v>
      </c>
      <c r="K78" t="s">
        <v>1044</v>
      </c>
      <c r="L78" t="s">
        <v>594</v>
      </c>
      <c r="M78" t="s">
        <v>593</v>
      </c>
      <c r="N78" t="s">
        <v>593</v>
      </c>
      <c r="O78" t="s">
        <v>594</v>
      </c>
      <c r="P78" t="s">
        <v>594</v>
      </c>
      <c r="Q78" t="s">
        <v>594</v>
      </c>
      <c r="R78" t="s">
        <v>594</v>
      </c>
      <c r="S78" t="s">
        <v>594</v>
      </c>
      <c r="T78">
        <v>77</v>
      </c>
      <c r="U78" t="s">
        <v>597</v>
      </c>
      <c r="V78" t="s">
        <v>598</v>
      </c>
      <c r="W78" t="s">
        <v>598</v>
      </c>
      <c r="X78" t="s">
        <v>625</v>
      </c>
      <c r="Y78" t="s">
        <v>600</v>
      </c>
      <c r="AB78" t="s">
        <v>600</v>
      </c>
      <c r="AC78" t="s">
        <v>600</v>
      </c>
      <c r="AI78" t="s">
        <v>601</v>
      </c>
      <c r="AJ78" t="s">
        <v>601</v>
      </c>
    </row>
    <row r="79" spans="1:36">
      <c r="A79" t="s">
        <v>1045</v>
      </c>
      <c r="B79">
        <v>9</v>
      </c>
      <c r="C79" t="s">
        <v>1013</v>
      </c>
      <c r="D79" t="s">
        <v>752</v>
      </c>
      <c r="E79" t="s">
        <v>1025</v>
      </c>
      <c r="F79" t="s">
        <v>664</v>
      </c>
      <c r="G79" t="s">
        <v>665</v>
      </c>
      <c r="H79" t="s">
        <v>1046</v>
      </c>
      <c r="I79" t="s">
        <v>1047</v>
      </c>
      <c r="J79" t="s">
        <v>1048</v>
      </c>
      <c r="K79" t="s">
        <v>1049</v>
      </c>
      <c r="L79" t="s">
        <v>594</v>
      </c>
      <c r="M79" t="s">
        <v>594</v>
      </c>
      <c r="N79" t="s">
        <v>593</v>
      </c>
      <c r="O79" t="s">
        <v>594</v>
      </c>
      <c r="P79" t="s">
        <v>594</v>
      </c>
      <c r="Q79" t="s">
        <v>594</v>
      </c>
      <c r="R79" t="s">
        <v>594</v>
      </c>
      <c r="S79" t="s">
        <v>594</v>
      </c>
      <c r="T79">
        <v>78</v>
      </c>
      <c r="U79" t="s">
        <v>597</v>
      </c>
      <c r="V79" t="s">
        <v>598</v>
      </c>
      <c r="W79" t="s">
        <v>598</v>
      </c>
      <c r="X79" t="s">
        <v>625</v>
      </c>
      <c r="Y79" t="s">
        <v>600</v>
      </c>
      <c r="AB79" t="s">
        <v>600</v>
      </c>
      <c r="AC79" t="s">
        <v>600</v>
      </c>
      <c r="AI79" t="s">
        <v>601</v>
      </c>
      <c r="AJ79" t="s">
        <v>601</v>
      </c>
    </row>
    <row r="80" spans="1:36">
      <c r="A80" t="s">
        <v>1050</v>
      </c>
      <c r="B80">
        <v>10</v>
      </c>
      <c r="C80" t="s">
        <v>1051</v>
      </c>
      <c r="D80" t="s">
        <v>585</v>
      </c>
      <c r="E80" t="s">
        <v>586</v>
      </c>
      <c r="F80" t="s">
        <v>664</v>
      </c>
      <c r="G80" t="s">
        <v>614</v>
      </c>
      <c r="H80" t="s">
        <v>1052</v>
      </c>
      <c r="I80" t="s">
        <v>1053</v>
      </c>
      <c r="J80" t="s">
        <v>1054</v>
      </c>
      <c r="K80" t="s">
        <v>1055</v>
      </c>
      <c r="L80" t="s">
        <v>593</v>
      </c>
      <c r="M80" t="s">
        <v>593</v>
      </c>
      <c r="N80" t="s">
        <v>593</v>
      </c>
      <c r="O80" t="s">
        <v>594</v>
      </c>
      <c r="P80" t="s">
        <v>594</v>
      </c>
      <c r="Q80" t="s">
        <v>594</v>
      </c>
      <c r="R80" t="s">
        <v>594</v>
      </c>
      <c r="S80" t="s">
        <v>594</v>
      </c>
      <c r="T80">
        <v>79</v>
      </c>
      <c r="U80" t="s">
        <v>597</v>
      </c>
      <c r="V80" t="s">
        <v>598</v>
      </c>
      <c r="W80" t="s">
        <v>598</v>
      </c>
      <c r="X80" t="s">
        <v>625</v>
      </c>
      <c r="Y80" t="s">
        <v>600</v>
      </c>
      <c r="AB80" t="s">
        <v>600</v>
      </c>
      <c r="AC80" t="s">
        <v>600</v>
      </c>
      <c r="AI80" t="s">
        <v>601</v>
      </c>
      <c r="AJ80" t="s">
        <v>601</v>
      </c>
    </row>
    <row r="81" spans="1:36">
      <c r="A81" t="s">
        <v>1056</v>
      </c>
      <c r="B81">
        <v>10</v>
      </c>
      <c r="C81" t="s">
        <v>1051</v>
      </c>
      <c r="D81" t="s">
        <v>585</v>
      </c>
      <c r="E81" t="s">
        <v>586</v>
      </c>
      <c r="F81" t="s">
        <v>664</v>
      </c>
      <c r="G81" t="s">
        <v>665</v>
      </c>
      <c r="H81" t="s">
        <v>1057</v>
      </c>
      <c r="I81" t="s">
        <v>1058</v>
      </c>
      <c r="J81" t="s">
        <v>1059</v>
      </c>
      <c r="K81" t="s">
        <v>1060</v>
      </c>
      <c r="L81" t="s">
        <v>593</v>
      </c>
      <c r="M81" t="s">
        <v>593</v>
      </c>
      <c r="N81" t="s">
        <v>593</v>
      </c>
      <c r="O81" t="s">
        <v>594</v>
      </c>
      <c r="P81" t="s">
        <v>594</v>
      </c>
      <c r="Q81" t="s">
        <v>594</v>
      </c>
      <c r="R81" t="s">
        <v>594</v>
      </c>
      <c r="S81" t="s">
        <v>594</v>
      </c>
      <c r="T81">
        <v>80</v>
      </c>
      <c r="U81" t="s">
        <v>597</v>
      </c>
      <c r="V81" t="s">
        <v>598</v>
      </c>
      <c r="W81" t="s">
        <v>598</v>
      </c>
      <c r="X81" t="s">
        <v>625</v>
      </c>
      <c r="Y81" t="s">
        <v>600</v>
      </c>
      <c r="AB81" t="s">
        <v>600</v>
      </c>
      <c r="AC81" t="s">
        <v>600</v>
      </c>
      <c r="AI81" t="s">
        <v>601</v>
      </c>
      <c r="AJ81" t="s">
        <v>601</v>
      </c>
    </row>
    <row r="82" spans="1:36">
      <c r="A82" t="s">
        <v>1061</v>
      </c>
      <c r="B82">
        <v>10</v>
      </c>
      <c r="C82" t="s">
        <v>1051</v>
      </c>
      <c r="D82" t="s">
        <v>585</v>
      </c>
      <c r="E82" t="s">
        <v>586</v>
      </c>
      <c r="F82" t="s">
        <v>664</v>
      </c>
      <c r="G82" t="s">
        <v>665</v>
      </c>
      <c r="H82" t="s">
        <v>1062</v>
      </c>
      <c r="I82" t="s">
        <v>1063</v>
      </c>
      <c r="J82" t="s">
        <v>1064</v>
      </c>
      <c r="K82" t="s">
        <v>1065</v>
      </c>
      <c r="L82" t="s">
        <v>593</v>
      </c>
      <c r="M82" t="s">
        <v>593</v>
      </c>
      <c r="N82" t="s">
        <v>593</v>
      </c>
      <c r="O82" t="s">
        <v>594</v>
      </c>
      <c r="P82" t="s">
        <v>594</v>
      </c>
      <c r="Q82" t="s">
        <v>594</v>
      </c>
      <c r="R82" t="s">
        <v>594</v>
      </c>
      <c r="S82" t="s">
        <v>594</v>
      </c>
      <c r="T82">
        <v>81</v>
      </c>
      <c r="U82" t="s">
        <v>597</v>
      </c>
      <c r="V82" t="s">
        <v>598</v>
      </c>
      <c r="W82" t="s">
        <v>598</v>
      </c>
      <c r="X82" t="s">
        <v>625</v>
      </c>
      <c r="Y82" t="s">
        <v>600</v>
      </c>
      <c r="AB82" t="s">
        <v>600</v>
      </c>
      <c r="AC82" t="s">
        <v>600</v>
      </c>
      <c r="AI82" t="s">
        <v>601</v>
      </c>
      <c r="AJ82" t="s">
        <v>601</v>
      </c>
    </row>
    <row r="83" spans="1:36">
      <c r="A83" t="s">
        <v>1066</v>
      </c>
      <c r="B83">
        <v>10</v>
      </c>
      <c r="C83" t="s">
        <v>1051</v>
      </c>
      <c r="D83" t="s">
        <v>585</v>
      </c>
      <c r="E83" t="s">
        <v>586</v>
      </c>
      <c r="F83" t="s">
        <v>613</v>
      </c>
      <c r="G83" t="s">
        <v>614</v>
      </c>
      <c r="H83" t="s">
        <v>1067</v>
      </c>
      <c r="I83" t="s">
        <v>1068</v>
      </c>
      <c r="J83" t="s">
        <v>1069</v>
      </c>
      <c r="K83" t="s">
        <v>1070</v>
      </c>
      <c r="L83" t="s">
        <v>594</v>
      </c>
      <c r="M83" t="s">
        <v>593</v>
      </c>
      <c r="N83" t="s">
        <v>593</v>
      </c>
      <c r="O83" t="s">
        <v>594</v>
      </c>
      <c r="P83" t="s">
        <v>594</v>
      </c>
      <c r="Q83" t="s">
        <v>594</v>
      </c>
      <c r="R83" t="s">
        <v>594</v>
      </c>
      <c r="S83" t="s">
        <v>594</v>
      </c>
      <c r="T83">
        <v>82</v>
      </c>
      <c r="U83" t="s">
        <v>597</v>
      </c>
      <c r="V83" t="s">
        <v>598</v>
      </c>
      <c r="W83" t="s">
        <v>598</v>
      </c>
      <c r="X83" t="s">
        <v>625</v>
      </c>
      <c r="Y83" t="s">
        <v>600</v>
      </c>
      <c r="AB83" t="s">
        <v>600</v>
      </c>
      <c r="AC83" t="s">
        <v>600</v>
      </c>
      <c r="AI83" t="s">
        <v>601</v>
      </c>
      <c r="AJ83" t="s">
        <v>601</v>
      </c>
    </row>
    <row r="84" spans="1:36">
      <c r="A84" t="s">
        <v>1071</v>
      </c>
      <c r="B84">
        <v>10</v>
      </c>
      <c r="C84" t="s">
        <v>1051</v>
      </c>
      <c r="D84" t="s">
        <v>585</v>
      </c>
      <c r="E84" t="s">
        <v>586</v>
      </c>
      <c r="F84" t="s">
        <v>664</v>
      </c>
      <c r="G84" t="s">
        <v>665</v>
      </c>
      <c r="H84" t="s">
        <v>1072</v>
      </c>
      <c r="I84" t="s">
        <v>1073</v>
      </c>
      <c r="J84" t="s">
        <v>1074</v>
      </c>
      <c r="K84" t="s">
        <v>1075</v>
      </c>
      <c r="L84" t="s">
        <v>594</v>
      </c>
      <c r="M84" t="s">
        <v>593</v>
      </c>
      <c r="N84" t="s">
        <v>593</v>
      </c>
      <c r="O84" t="s">
        <v>594</v>
      </c>
      <c r="P84" t="s">
        <v>594</v>
      </c>
      <c r="Q84" t="s">
        <v>594</v>
      </c>
      <c r="R84" t="s">
        <v>594</v>
      </c>
      <c r="S84" t="s">
        <v>594</v>
      </c>
      <c r="T84">
        <v>83</v>
      </c>
      <c r="U84" t="s">
        <v>597</v>
      </c>
      <c r="V84" t="s">
        <v>598</v>
      </c>
      <c r="W84" t="s">
        <v>598</v>
      </c>
      <c r="X84" t="s">
        <v>625</v>
      </c>
      <c r="Y84" t="s">
        <v>600</v>
      </c>
      <c r="AB84" t="s">
        <v>600</v>
      </c>
      <c r="AC84" t="s">
        <v>600</v>
      </c>
      <c r="AI84" t="s">
        <v>601</v>
      </c>
      <c r="AJ84" t="s">
        <v>601</v>
      </c>
    </row>
    <row r="85" spans="1:36">
      <c r="A85" t="s">
        <v>1076</v>
      </c>
      <c r="B85">
        <v>10</v>
      </c>
      <c r="C85" t="s">
        <v>1051</v>
      </c>
      <c r="D85" t="s">
        <v>585</v>
      </c>
      <c r="E85" t="s">
        <v>586</v>
      </c>
      <c r="F85" t="s">
        <v>664</v>
      </c>
      <c r="G85" t="s">
        <v>665</v>
      </c>
      <c r="H85" t="s">
        <v>1077</v>
      </c>
      <c r="I85" t="s">
        <v>1078</v>
      </c>
      <c r="J85" t="s">
        <v>1079</v>
      </c>
      <c r="K85" t="s">
        <v>1080</v>
      </c>
      <c r="L85" t="s">
        <v>594</v>
      </c>
      <c r="M85" t="s">
        <v>593</v>
      </c>
      <c r="N85" t="s">
        <v>593</v>
      </c>
      <c r="O85" t="s">
        <v>594</v>
      </c>
      <c r="P85" t="s">
        <v>594</v>
      </c>
      <c r="Q85" t="s">
        <v>594</v>
      </c>
      <c r="R85" t="s">
        <v>594</v>
      </c>
      <c r="S85" t="s">
        <v>594</v>
      </c>
      <c r="T85">
        <v>84</v>
      </c>
      <c r="U85" t="s">
        <v>597</v>
      </c>
      <c r="V85" t="s">
        <v>598</v>
      </c>
      <c r="W85" t="s">
        <v>598</v>
      </c>
      <c r="X85" t="s">
        <v>625</v>
      </c>
      <c r="Y85" t="s">
        <v>600</v>
      </c>
      <c r="AB85" t="s">
        <v>600</v>
      </c>
      <c r="AC85" t="s">
        <v>600</v>
      </c>
      <c r="AI85" t="s">
        <v>601</v>
      </c>
      <c r="AJ85" t="s">
        <v>601</v>
      </c>
    </row>
    <row r="86" spans="1:36">
      <c r="A86" t="s">
        <v>1081</v>
      </c>
      <c r="B86">
        <v>10</v>
      </c>
      <c r="C86" t="s">
        <v>1051</v>
      </c>
      <c r="D86" t="s">
        <v>585</v>
      </c>
      <c r="E86" t="s">
        <v>586</v>
      </c>
      <c r="F86" t="s">
        <v>613</v>
      </c>
      <c r="G86" t="s">
        <v>614</v>
      </c>
      <c r="H86" t="s">
        <v>1082</v>
      </c>
      <c r="I86" t="s">
        <v>1083</v>
      </c>
      <c r="J86" t="s">
        <v>1084</v>
      </c>
      <c r="K86" t="s">
        <v>1085</v>
      </c>
      <c r="L86" t="s">
        <v>594</v>
      </c>
      <c r="M86" t="s">
        <v>593</v>
      </c>
      <c r="N86" t="s">
        <v>593</v>
      </c>
      <c r="O86" t="s">
        <v>594</v>
      </c>
      <c r="P86" t="s">
        <v>594</v>
      </c>
      <c r="Q86" t="s">
        <v>594</v>
      </c>
      <c r="R86" t="s">
        <v>594</v>
      </c>
      <c r="S86" t="s">
        <v>594</v>
      </c>
      <c r="T86">
        <v>85</v>
      </c>
      <c r="U86" t="s">
        <v>597</v>
      </c>
      <c r="V86" t="s">
        <v>598</v>
      </c>
      <c r="W86" t="s">
        <v>598</v>
      </c>
      <c r="X86" t="s">
        <v>625</v>
      </c>
      <c r="Y86" t="s">
        <v>600</v>
      </c>
      <c r="AB86" t="s">
        <v>600</v>
      </c>
      <c r="AC86" t="s">
        <v>600</v>
      </c>
      <c r="AI86" t="s">
        <v>601</v>
      </c>
      <c r="AJ86" t="s">
        <v>601</v>
      </c>
    </row>
    <row r="87" spans="1:36">
      <c r="A87" t="s">
        <v>1086</v>
      </c>
      <c r="B87">
        <v>11</v>
      </c>
      <c r="C87" t="s">
        <v>1087</v>
      </c>
      <c r="D87" t="s">
        <v>349</v>
      </c>
      <c r="E87" t="s">
        <v>773</v>
      </c>
      <c r="F87" t="s">
        <v>1088</v>
      </c>
      <c r="G87" t="s">
        <v>690</v>
      </c>
      <c r="H87" t="s">
        <v>1089</v>
      </c>
      <c r="I87" t="s">
        <v>1090</v>
      </c>
      <c r="J87" t="s">
        <v>1091</v>
      </c>
      <c r="K87" t="s">
        <v>1092</v>
      </c>
      <c r="L87" t="s">
        <v>593</v>
      </c>
      <c r="M87" t="s">
        <v>593</v>
      </c>
      <c r="N87" t="s">
        <v>593</v>
      </c>
      <c r="O87" t="s">
        <v>594</v>
      </c>
      <c r="P87" t="s">
        <v>594</v>
      </c>
      <c r="Q87" t="s">
        <v>594</v>
      </c>
      <c r="R87" t="s">
        <v>594</v>
      </c>
      <c r="S87" t="s">
        <v>594</v>
      </c>
      <c r="T87">
        <v>86</v>
      </c>
      <c r="U87" t="s">
        <v>597</v>
      </c>
      <c r="V87" t="s">
        <v>598</v>
      </c>
      <c r="W87" t="s">
        <v>598</v>
      </c>
      <c r="X87" t="s">
        <v>625</v>
      </c>
      <c r="Y87" t="s">
        <v>600</v>
      </c>
      <c r="AB87" t="s">
        <v>600</v>
      </c>
      <c r="AC87" t="s">
        <v>600</v>
      </c>
      <c r="AI87" t="s">
        <v>601</v>
      </c>
      <c r="AJ87" t="s">
        <v>601</v>
      </c>
    </row>
    <row r="88" spans="1:36">
      <c r="A88" t="s">
        <v>1093</v>
      </c>
      <c r="B88">
        <v>11</v>
      </c>
      <c r="C88" t="s">
        <v>1087</v>
      </c>
      <c r="D88" t="s">
        <v>349</v>
      </c>
      <c r="E88" t="s">
        <v>689</v>
      </c>
      <c r="F88" t="s">
        <v>1088</v>
      </c>
      <c r="G88" t="s">
        <v>1094</v>
      </c>
      <c r="H88" t="s">
        <v>1095</v>
      </c>
      <c r="I88" t="s">
        <v>1096</v>
      </c>
      <c r="J88" t="s">
        <v>1097</v>
      </c>
      <c r="K88" t="s">
        <v>1098</v>
      </c>
      <c r="L88" t="s">
        <v>593</v>
      </c>
      <c r="M88" t="s">
        <v>593</v>
      </c>
      <c r="N88" t="s">
        <v>593</v>
      </c>
      <c r="O88" t="s">
        <v>594</v>
      </c>
      <c r="P88" t="s">
        <v>594</v>
      </c>
      <c r="Q88" t="s">
        <v>594</v>
      </c>
      <c r="R88" t="s">
        <v>594</v>
      </c>
      <c r="S88" t="s">
        <v>594</v>
      </c>
      <c r="T88">
        <v>87</v>
      </c>
      <c r="U88" t="s">
        <v>597</v>
      </c>
      <c r="V88" t="s">
        <v>598</v>
      </c>
      <c r="W88" t="s">
        <v>598</v>
      </c>
      <c r="X88" t="s">
        <v>625</v>
      </c>
      <c r="Y88" t="s">
        <v>600</v>
      </c>
      <c r="AB88" t="s">
        <v>600</v>
      </c>
      <c r="AC88" t="s">
        <v>600</v>
      </c>
      <c r="AI88" t="s">
        <v>601</v>
      </c>
      <c r="AJ88" t="s">
        <v>601</v>
      </c>
    </row>
    <row r="89" spans="1:36">
      <c r="A89" t="s">
        <v>1099</v>
      </c>
      <c r="B89">
        <v>11</v>
      </c>
      <c r="C89" t="s">
        <v>1087</v>
      </c>
      <c r="D89" t="s">
        <v>349</v>
      </c>
      <c r="E89" t="s">
        <v>689</v>
      </c>
      <c r="F89" t="s">
        <v>664</v>
      </c>
      <c r="G89" t="s">
        <v>665</v>
      </c>
      <c r="H89" t="s">
        <v>1100</v>
      </c>
      <c r="I89" t="s">
        <v>1101</v>
      </c>
      <c r="J89" t="s">
        <v>1102</v>
      </c>
      <c r="K89" t="s">
        <v>1103</v>
      </c>
      <c r="L89" t="s">
        <v>593</v>
      </c>
      <c r="M89" t="s">
        <v>593</v>
      </c>
      <c r="N89" t="s">
        <v>593</v>
      </c>
      <c r="O89" t="s">
        <v>594</v>
      </c>
      <c r="P89" t="s">
        <v>594</v>
      </c>
      <c r="Q89" t="s">
        <v>594</v>
      </c>
      <c r="R89" t="s">
        <v>594</v>
      </c>
      <c r="S89" t="s">
        <v>594</v>
      </c>
      <c r="T89">
        <v>88</v>
      </c>
      <c r="U89" t="s">
        <v>597</v>
      </c>
      <c r="V89" t="s">
        <v>598</v>
      </c>
      <c r="W89" t="s">
        <v>598</v>
      </c>
      <c r="X89" t="s">
        <v>625</v>
      </c>
      <c r="Y89" t="s">
        <v>600</v>
      </c>
      <c r="AB89" t="s">
        <v>600</v>
      </c>
      <c r="AC89" t="s">
        <v>600</v>
      </c>
      <c r="AI89" t="s">
        <v>601</v>
      </c>
      <c r="AJ89" t="s">
        <v>601</v>
      </c>
    </row>
    <row r="90" spans="1:36">
      <c r="A90" t="s">
        <v>1104</v>
      </c>
      <c r="B90">
        <v>11</v>
      </c>
      <c r="C90" t="s">
        <v>1087</v>
      </c>
      <c r="D90" t="s">
        <v>349</v>
      </c>
      <c r="E90" t="s">
        <v>689</v>
      </c>
      <c r="F90" t="s">
        <v>1088</v>
      </c>
      <c r="G90" t="s">
        <v>1094</v>
      </c>
      <c r="H90" t="s">
        <v>1105</v>
      </c>
      <c r="I90" t="s">
        <v>1106</v>
      </c>
      <c r="J90" t="s">
        <v>1107</v>
      </c>
      <c r="K90" t="s">
        <v>1108</v>
      </c>
      <c r="L90" t="s">
        <v>593</v>
      </c>
      <c r="M90" t="s">
        <v>593</v>
      </c>
      <c r="N90" t="s">
        <v>593</v>
      </c>
      <c r="O90" t="s">
        <v>594</v>
      </c>
      <c r="P90" t="s">
        <v>594</v>
      </c>
      <c r="Q90" t="s">
        <v>594</v>
      </c>
      <c r="R90" t="s">
        <v>594</v>
      </c>
      <c r="S90" t="s">
        <v>594</v>
      </c>
      <c r="T90">
        <v>89</v>
      </c>
      <c r="U90" t="s">
        <v>597</v>
      </c>
      <c r="V90" t="s">
        <v>598</v>
      </c>
      <c r="W90" t="s">
        <v>598</v>
      </c>
      <c r="X90" t="s">
        <v>625</v>
      </c>
      <c r="Y90" t="s">
        <v>600</v>
      </c>
      <c r="AB90" t="s">
        <v>600</v>
      </c>
      <c r="AC90" t="s">
        <v>600</v>
      </c>
      <c r="AI90" t="s">
        <v>601</v>
      </c>
      <c r="AJ90" t="s">
        <v>601</v>
      </c>
    </row>
    <row r="91" spans="1:36">
      <c r="A91" t="s">
        <v>1109</v>
      </c>
      <c r="B91">
        <v>11</v>
      </c>
      <c r="C91" t="s">
        <v>1087</v>
      </c>
      <c r="D91" t="s">
        <v>349</v>
      </c>
      <c r="E91" t="s">
        <v>689</v>
      </c>
      <c r="F91" t="s">
        <v>1088</v>
      </c>
      <c r="G91" t="s">
        <v>1094</v>
      </c>
      <c r="H91" t="s">
        <v>1110</v>
      </c>
      <c r="I91" t="s">
        <v>1111</v>
      </c>
      <c r="J91" t="s">
        <v>1112</v>
      </c>
      <c r="K91" t="s">
        <v>1113</v>
      </c>
      <c r="L91" t="s">
        <v>594</v>
      </c>
      <c r="M91" t="s">
        <v>593</v>
      </c>
      <c r="N91" t="s">
        <v>593</v>
      </c>
      <c r="O91" t="s">
        <v>594</v>
      </c>
      <c r="P91" t="s">
        <v>594</v>
      </c>
      <c r="Q91" t="s">
        <v>594</v>
      </c>
      <c r="R91" t="s">
        <v>594</v>
      </c>
      <c r="S91" t="s">
        <v>594</v>
      </c>
      <c r="T91">
        <v>90</v>
      </c>
      <c r="U91" t="s">
        <v>597</v>
      </c>
      <c r="V91" t="s">
        <v>598</v>
      </c>
      <c r="W91" t="s">
        <v>598</v>
      </c>
      <c r="X91" t="s">
        <v>625</v>
      </c>
      <c r="Y91" t="s">
        <v>600</v>
      </c>
      <c r="AB91" t="s">
        <v>600</v>
      </c>
      <c r="AC91" t="s">
        <v>600</v>
      </c>
      <c r="AI91" t="s">
        <v>601</v>
      </c>
      <c r="AJ91" t="s">
        <v>601</v>
      </c>
    </row>
    <row r="92" spans="1:36">
      <c r="A92" t="s">
        <v>1114</v>
      </c>
      <c r="B92">
        <v>12</v>
      </c>
      <c r="C92" t="s">
        <v>1115</v>
      </c>
      <c r="D92" t="s">
        <v>752</v>
      </c>
      <c r="E92" t="s">
        <v>1025</v>
      </c>
      <c r="F92" t="s">
        <v>664</v>
      </c>
      <c r="G92" t="s">
        <v>665</v>
      </c>
      <c r="H92" t="s">
        <v>1116</v>
      </c>
      <c r="I92" t="s">
        <v>1117</v>
      </c>
      <c r="J92" t="s">
        <v>1118</v>
      </c>
      <c r="K92" t="s">
        <v>1119</v>
      </c>
      <c r="L92" t="s">
        <v>593</v>
      </c>
      <c r="M92" t="s">
        <v>593</v>
      </c>
      <c r="N92" t="s">
        <v>593</v>
      </c>
      <c r="O92" t="s">
        <v>594</v>
      </c>
      <c r="P92" t="s">
        <v>594</v>
      </c>
      <c r="Q92" t="s">
        <v>594</v>
      </c>
      <c r="R92" t="s">
        <v>594</v>
      </c>
      <c r="S92" t="s">
        <v>594</v>
      </c>
      <c r="T92">
        <v>91</v>
      </c>
      <c r="U92" t="s">
        <v>597</v>
      </c>
      <c r="V92" t="s">
        <v>598</v>
      </c>
      <c r="W92" t="s">
        <v>598</v>
      </c>
      <c r="X92" t="s">
        <v>625</v>
      </c>
      <c r="Y92" t="s">
        <v>600</v>
      </c>
      <c r="AB92" t="s">
        <v>600</v>
      </c>
      <c r="AC92" t="s">
        <v>600</v>
      </c>
      <c r="AI92" t="s">
        <v>601</v>
      </c>
      <c r="AJ92" t="s">
        <v>601</v>
      </c>
    </row>
    <row r="93" spans="1:36">
      <c r="A93" t="s">
        <v>1120</v>
      </c>
      <c r="B93">
        <v>12</v>
      </c>
      <c r="C93" t="s">
        <v>1115</v>
      </c>
      <c r="D93" t="s">
        <v>752</v>
      </c>
      <c r="E93" t="s">
        <v>1025</v>
      </c>
      <c r="F93" t="s">
        <v>664</v>
      </c>
      <c r="G93" t="s">
        <v>665</v>
      </c>
      <c r="H93" t="s">
        <v>1121</v>
      </c>
      <c r="I93" t="s">
        <v>1122</v>
      </c>
      <c r="J93" t="s">
        <v>1123</v>
      </c>
      <c r="K93" t="s">
        <v>1124</v>
      </c>
      <c r="L93" t="s">
        <v>594</v>
      </c>
      <c r="M93" t="s">
        <v>593</v>
      </c>
      <c r="N93" t="s">
        <v>593</v>
      </c>
      <c r="O93" t="s">
        <v>594</v>
      </c>
      <c r="P93" t="s">
        <v>594</v>
      </c>
      <c r="Q93" t="s">
        <v>594</v>
      </c>
      <c r="R93" t="s">
        <v>594</v>
      </c>
      <c r="S93" t="s">
        <v>594</v>
      </c>
      <c r="T93">
        <v>92</v>
      </c>
      <c r="U93" t="s">
        <v>597</v>
      </c>
      <c r="V93" t="s">
        <v>598</v>
      </c>
      <c r="W93" t="s">
        <v>598</v>
      </c>
      <c r="X93" t="s">
        <v>625</v>
      </c>
      <c r="Y93" t="s">
        <v>600</v>
      </c>
      <c r="AB93" t="s">
        <v>600</v>
      </c>
      <c r="AC93" t="s">
        <v>600</v>
      </c>
      <c r="AI93" t="s">
        <v>601</v>
      </c>
      <c r="AJ93" t="s">
        <v>601</v>
      </c>
    </row>
    <row r="94" spans="1:36">
      <c r="A94" t="s">
        <v>1125</v>
      </c>
      <c r="B94">
        <v>12</v>
      </c>
      <c r="C94" t="s">
        <v>1115</v>
      </c>
      <c r="D94" t="s">
        <v>752</v>
      </c>
      <c r="E94" t="s">
        <v>1025</v>
      </c>
      <c r="F94" t="s">
        <v>664</v>
      </c>
      <c r="G94" t="s">
        <v>665</v>
      </c>
      <c r="H94" t="s">
        <v>1126</v>
      </c>
      <c r="I94" t="s">
        <v>1127</v>
      </c>
      <c r="J94" t="s">
        <v>1128</v>
      </c>
      <c r="K94" t="s">
        <v>1129</v>
      </c>
      <c r="L94" t="s">
        <v>594</v>
      </c>
      <c r="M94" t="s">
        <v>593</v>
      </c>
      <c r="N94" t="s">
        <v>593</v>
      </c>
      <c r="O94" t="s">
        <v>594</v>
      </c>
      <c r="P94" t="s">
        <v>594</v>
      </c>
      <c r="Q94" t="s">
        <v>594</v>
      </c>
      <c r="R94" t="s">
        <v>594</v>
      </c>
      <c r="S94" t="s">
        <v>594</v>
      </c>
      <c r="T94">
        <v>93</v>
      </c>
      <c r="U94" t="s">
        <v>597</v>
      </c>
      <c r="V94" t="s">
        <v>598</v>
      </c>
      <c r="W94" t="s">
        <v>598</v>
      </c>
      <c r="X94" t="s">
        <v>625</v>
      </c>
      <c r="Y94" t="s">
        <v>600</v>
      </c>
      <c r="AB94" t="s">
        <v>600</v>
      </c>
      <c r="AC94" t="s">
        <v>600</v>
      </c>
      <c r="AI94" t="s">
        <v>601</v>
      </c>
      <c r="AJ94" t="s">
        <v>601</v>
      </c>
    </row>
    <row r="95" spans="1:36">
      <c r="A95" t="s">
        <v>1130</v>
      </c>
      <c r="B95">
        <v>12</v>
      </c>
      <c r="C95" t="s">
        <v>1115</v>
      </c>
      <c r="D95" t="s">
        <v>752</v>
      </c>
      <c r="E95" t="s">
        <v>773</v>
      </c>
      <c r="F95" t="s">
        <v>587</v>
      </c>
      <c r="G95" t="s">
        <v>690</v>
      </c>
      <c r="H95" t="s">
        <v>1131</v>
      </c>
      <c r="I95" t="s">
        <v>1132</v>
      </c>
      <c r="J95" t="s">
        <v>1133</v>
      </c>
      <c r="K95" t="s">
        <v>1134</v>
      </c>
      <c r="L95" t="s">
        <v>594</v>
      </c>
      <c r="M95" t="s">
        <v>593</v>
      </c>
      <c r="N95" t="s">
        <v>593</v>
      </c>
      <c r="O95" t="s">
        <v>594</v>
      </c>
      <c r="P95" t="s">
        <v>594</v>
      </c>
      <c r="Q95" t="s">
        <v>594</v>
      </c>
      <c r="R95" t="s">
        <v>594</v>
      </c>
      <c r="S95" t="s">
        <v>594</v>
      </c>
      <c r="T95">
        <v>94</v>
      </c>
      <c r="U95" t="s">
        <v>597</v>
      </c>
      <c r="V95" t="s">
        <v>598</v>
      </c>
      <c r="W95" t="s">
        <v>598</v>
      </c>
      <c r="X95" t="s">
        <v>625</v>
      </c>
      <c r="Y95" t="s">
        <v>600</v>
      </c>
      <c r="AB95" t="s">
        <v>600</v>
      </c>
      <c r="AC95" t="s">
        <v>600</v>
      </c>
      <c r="AI95" t="s">
        <v>601</v>
      </c>
      <c r="AJ95" t="s">
        <v>601</v>
      </c>
    </row>
    <row r="96" spans="1:36">
      <c r="A96" t="s">
        <v>1135</v>
      </c>
      <c r="B96">
        <v>12</v>
      </c>
      <c r="C96" t="s">
        <v>1115</v>
      </c>
      <c r="D96" t="s">
        <v>752</v>
      </c>
      <c r="E96" t="s">
        <v>1025</v>
      </c>
      <c r="F96" t="s">
        <v>664</v>
      </c>
      <c r="G96" t="s">
        <v>665</v>
      </c>
      <c r="H96" t="s">
        <v>1136</v>
      </c>
      <c r="I96" t="s">
        <v>1137</v>
      </c>
      <c r="J96" t="s">
        <v>1138</v>
      </c>
      <c r="K96" t="s">
        <v>1139</v>
      </c>
      <c r="L96" t="s">
        <v>594</v>
      </c>
      <c r="M96" t="s">
        <v>593</v>
      </c>
      <c r="N96" t="s">
        <v>593</v>
      </c>
      <c r="O96" t="s">
        <v>594</v>
      </c>
      <c r="P96" t="s">
        <v>594</v>
      </c>
      <c r="Q96" t="s">
        <v>594</v>
      </c>
      <c r="R96" t="s">
        <v>594</v>
      </c>
      <c r="S96" t="s">
        <v>594</v>
      </c>
      <c r="T96">
        <v>95</v>
      </c>
      <c r="U96" t="s">
        <v>597</v>
      </c>
      <c r="V96" t="s">
        <v>598</v>
      </c>
      <c r="W96" t="s">
        <v>598</v>
      </c>
      <c r="X96" t="s">
        <v>625</v>
      </c>
      <c r="Y96" t="s">
        <v>600</v>
      </c>
      <c r="AB96" t="s">
        <v>600</v>
      </c>
      <c r="AC96" t="s">
        <v>600</v>
      </c>
      <c r="AI96" t="s">
        <v>601</v>
      </c>
      <c r="AJ96" t="s">
        <v>601</v>
      </c>
    </row>
    <row r="97" spans="1:36">
      <c r="A97" t="s">
        <v>1140</v>
      </c>
      <c r="B97">
        <v>12</v>
      </c>
      <c r="C97" t="s">
        <v>1115</v>
      </c>
      <c r="D97" t="s">
        <v>752</v>
      </c>
      <c r="E97" t="s">
        <v>1025</v>
      </c>
      <c r="F97" t="s">
        <v>664</v>
      </c>
      <c r="G97" t="s">
        <v>665</v>
      </c>
      <c r="H97" t="s">
        <v>1141</v>
      </c>
      <c r="I97" t="s">
        <v>1142</v>
      </c>
      <c r="J97" t="s">
        <v>1143</v>
      </c>
      <c r="K97" t="s">
        <v>1144</v>
      </c>
      <c r="L97" t="s">
        <v>594</v>
      </c>
      <c r="M97" t="s">
        <v>593</v>
      </c>
      <c r="N97" t="s">
        <v>593</v>
      </c>
      <c r="O97" t="s">
        <v>594</v>
      </c>
      <c r="P97" t="s">
        <v>594</v>
      </c>
      <c r="Q97" t="s">
        <v>594</v>
      </c>
      <c r="R97" t="s">
        <v>594</v>
      </c>
      <c r="S97" t="s">
        <v>594</v>
      </c>
      <c r="T97">
        <v>96</v>
      </c>
      <c r="U97" t="s">
        <v>597</v>
      </c>
      <c r="V97" t="s">
        <v>598</v>
      </c>
      <c r="W97" t="s">
        <v>598</v>
      </c>
      <c r="X97" t="s">
        <v>625</v>
      </c>
      <c r="Y97" t="s">
        <v>600</v>
      </c>
      <c r="AB97" t="s">
        <v>600</v>
      </c>
      <c r="AC97" t="s">
        <v>600</v>
      </c>
      <c r="AI97" t="s">
        <v>601</v>
      </c>
      <c r="AJ97" t="s">
        <v>601</v>
      </c>
    </row>
    <row r="98" spans="1:36">
      <c r="A98" t="s">
        <v>1145</v>
      </c>
      <c r="B98">
        <v>12</v>
      </c>
      <c r="C98" t="s">
        <v>1115</v>
      </c>
      <c r="D98" t="s">
        <v>585</v>
      </c>
      <c r="E98" t="s">
        <v>1019</v>
      </c>
      <c r="F98" t="s">
        <v>664</v>
      </c>
      <c r="G98" t="s">
        <v>665</v>
      </c>
      <c r="H98" t="s">
        <v>1146</v>
      </c>
      <c r="I98" t="s">
        <v>1147</v>
      </c>
      <c r="J98" t="s">
        <v>1148</v>
      </c>
      <c r="K98" t="s">
        <v>1149</v>
      </c>
      <c r="L98" t="s">
        <v>594</v>
      </c>
      <c r="M98" t="s">
        <v>593</v>
      </c>
      <c r="N98" t="s">
        <v>593</v>
      </c>
      <c r="O98" t="s">
        <v>594</v>
      </c>
      <c r="P98" t="s">
        <v>594</v>
      </c>
      <c r="Q98" t="s">
        <v>594</v>
      </c>
      <c r="R98" t="s">
        <v>594</v>
      </c>
      <c r="S98" t="s">
        <v>594</v>
      </c>
      <c r="T98">
        <v>97</v>
      </c>
      <c r="U98" t="s">
        <v>597</v>
      </c>
      <c r="V98" t="s">
        <v>598</v>
      </c>
      <c r="W98" t="s">
        <v>598</v>
      </c>
      <c r="X98" t="s">
        <v>625</v>
      </c>
      <c r="Y98" t="s">
        <v>600</v>
      </c>
      <c r="AB98" t="s">
        <v>600</v>
      </c>
      <c r="AC98" t="s">
        <v>600</v>
      </c>
      <c r="AI98" t="s">
        <v>601</v>
      </c>
      <c r="AJ98" t="s">
        <v>601</v>
      </c>
    </row>
    <row r="99" spans="1:36">
      <c r="A99" t="s">
        <v>1150</v>
      </c>
      <c r="B99">
        <v>12</v>
      </c>
      <c r="C99" t="s">
        <v>1115</v>
      </c>
      <c r="D99" t="s">
        <v>585</v>
      </c>
      <c r="E99" t="s">
        <v>1019</v>
      </c>
      <c r="F99" t="s">
        <v>664</v>
      </c>
      <c r="G99" t="s">
        <v>665</v>
      </c>
      <c r="H99" t="s">
        <v>1151</v>
      </c>
      <c r="I99" t="s">
        <v>1152</v>
      </c>
      <c r="J99" t="s">
        <v>1153</v>
      </c>
      <c r="K99" t="s">
        <v>1154</v>
      </c>
      <c r="L99" t="s">
        <v>594</v>
      </c>
      <c r="M99" t="s">
        <v>594</v>
      </c>
      <c r="N99" t="s">
        <v>593</v>
      </c>
      <c r="O99" t="s">
        <v>594</v>
      </c>
      <c r="P99" t="s">
        <v>594</v>
      </c>
      <c r="Q99" t="s">
        <v>594</v>
      </c>
      <c r="R99" t="s">
        <v>594</v>
      </c>
      <c r="S99" t="s">
        <v>594</v>
      </c>
      <c r="T99">
        <v>98</v>
      </c>
      <c r="U99" t="s">
        <v>597</v>
      </c>
      <c r="V99" t="s">
        <v>598</v>
      </c>
      <c r="W99" t="s">
        <v>598</v>
      </c>
      <c r="X99" t="s">
        <v>625</v>
      </c>
      <c r="Y99" t="s">
        <v>600</v>
      </c>
      <c r="AB99" t="s">
        <v>600</v>
      </c>
      <c r="AC99" t="s">
        <v>600</v>
      </c>
      <c r="AI99" t="s">
        <v>601</v>
      </c>
      <c r="AJ99" t="s">
        <v>601</v>
      </c>
    </row>
    <row r="100" spans="1:36">
      <c r="A100" t="s">
        <v>1155</v>
      </c>
      <c r="B100">
        <v>13</v>
      </c>
      <c r="C100" t="s">
        <v>1156</v>
      </c>
      <c r="D100" t="s">
        <v>752</v>
      </c>
      <c r="E100" t="s">
        <v>1025</v>
      </c>
      <c r="F100" t="s">
        <v>613</v>
      </c>
      <c r="G100" t="s">
        <v>614</v>
      </c>
      <c r="H100" t="s">
        <v>1157</v>
      </c>
      <c r="I100" t="s">
        <v>1158</v>
      </c>
      <c r="J100" t="s">
        <v>1159</v>
      </c>
      <c r="K100" t="s">
        <v>1160</v>
      </c>
      <c r="L100" t="s">
        <v>594</v>
      </c>
      <c r="M100" t="s">
        <v>593</v>
      </c>
      <c r="N100" t="s">
        <v>593</v>
      </c>
      <c r="O100" t="s">
        <v>594</v>
      </c>
      <c r="P100" t="s">
        <v>594</v>
      </c>
      <c r="Q100" t="s">
        <v>594</v>
      </c>
      <c r="R100" t="s">
        <v>594</v>
      </c>
      <c r="S100" t="s">
        <v>594</v>
      </c>
      <c r="T100">
        <v>99</v>
      </c>
      <c r="U100" t="s">
        <v>597</v>
      </c>
      <c r="V100" t="s">
        <v>598</v>
      </c>
      <c r="W100" t="s">
        <v>598</v>
      </c>
      <c r="X100" t="s">
        <v>625</v>
      </c>
      <c r="Y100" t="s">
        <v>600</v>
      </c>
      <c r="AB100" t="s">
        <v>600</v>
      </c>
      <c r="AC100" t="s">
        <v>600</v>
      </c>
      <c r="AI100" t="s">
        <v>601</v>
      </c>
      <c r="AJ100" t="s">
        <v>601</v>
      </c>
    </row>
    <row r="101" spans="1:36">
      <c r="A101" t="s">
        <v>1161</v>
      </c>
      <c r="B101">
        <v>13</v>
      </c>
      <c r="C101" t="s">
        <v>1156</v>
      </c>
      <c r="D101" t="s">
        <v>585</v>
      </c>
      <c r="E101" t="s">
        <v>586</v>
      </c>
      <c r="F101" t="s">
        <v>613</v>
      </c>
      <c r="G101" t="s">
        <v>614</v>
      </c>
      <c r="H101" t="s">
        <v>1162</v>
      </c>
      <c r="I101" t="s">
        <v>1163</v>
      </c>
      <c r="J101" t="s">
        <v>1164</v>
      </c>
      <c r="K101" t="s">
        <v>1165</v>
      </c>
      <c r="L101" t="s">
        <v>594</v>
      </c>
      <c r="M101" t="s">
        <v>593</v>
      </c>
      <c r="N101" t="s">
        <v>593</v>
      </c>
      <c r="O101" t="s">
        <v>594</v>
      </c>
      <c r="P101" t="s">
        <v>594</v>
      </c>
      <c r="Q101" t="s">
        <v>594</v>
      </c>
      <c r="R101" t="s">
        <v>594</v>
      </c>
      <c r="S101" t="s">
        <v>594</v>
      </c>
      <c r="T101">
        <v>100</v>
      </c>
      <c r="U101" t="s">
        <v>597</v>
      </c>
      <c r="V101" t="s">
        <v>598</v>
      </c>
      <c r="W101" t="s">
        <v>598</v>
      </c>
      <c r="X101" t="s">
        <v>625</v>
      </c>
      <c r="Y101" t="s">
        <v>600</v>
      </c>
      <c r="AB101" t="s">
        <v>600</v>
      </c>
      <c r="AC101" t="s">
        <v>600</v>
      </c>
      <c r="AI101" t="s">
        <v>601</v>
      </c>
      <c r="AJ101" t="s">
        <v>601</v>
      </c>
    </row>
    <row r="102" spans="1:36">
      <c r="A102" t="s">
        <v>1166</v>
      </c>
      <c r="B102">
        <v>13</v>
      </c>
      <c r="C102" t="s">
        <v>1156</v>
      </c>
      <c r="D102" t="s">
        <v>752</v>
      </c>
      <c r="E102" t="s">
        <v>1025</v>
      </c>
      <c r="F102" t="s">
        <v>613</v>
      </c>
      <c r="G102" t="s">
        <v>614</v>
      </c>
      <c r="H102" t="s">
        <v>1167</v>
      </c>
      <c r="I102" t="s">
        <v>1168</v>
      </c>
      <c r="J102" t="s">
        <v>1169</v>
      </c>
      <c r="K102" t="s">
        <v>1170</v>
      </c>
      <c r="L102" t="s">
        <v>594</v>
      </c>
      <c r="M102" t="s">
        <v>593</v>
      </c>
      <c r="N102" t="s">
        <v>593</v>
      </c>
      <c r="O102" t="s">
        <v>594</v>
      </c>
      <c r="P102" t="s">
        <v>594</v>
      </c>
      <c r="Q102" t="s">
        <v>594</v>
      </c>
      <c r="R102" t="s">
        <v>594</v>
      </c>
      <c r="S102" t="s">
        <v>594</v>
      </c>
      <c r="T102">
        <v>101</v>
      </c>
      <c r="U102" t="s">
        <v>597</v>
      </c>
      <c r="V102" t="s">
        <v>598</v>
      </c>
      <c r="W102" t="s">
        <v>598</v>
      </c>
      <c r="X102" t="s">
        <v>625</v>
      </c>
      <c r="Y102" t="s">
        <v>600</v>
      </c>
      <c r="AB102" t="s">
        <v>600</v>
      </c>
      <c r="AC102" t="s">
        <v>600</v>
      </c>
      <c r="AI102" t="s">
        <v>601</v>
      </c>
      <c r="AJ102" t="s">
        <v>601</v>
      </c>
    </row>
    <row r="103" spans="1:36">
      <c r="A103" t="s">
        <v>1171</v>
      </c>
      <c r="B103">
        <v>13</v>
      </c>
      <c r="C103" t="s">
        <v>1156</v>
      </c>
      <c r="D103" t="s">
        <v>752</v>
      </c>
      <c r="E103" t="s">
        <v>1025</v>
      </c>
      <c r="F103" t="s">
        <v>664</v>
      </c>
      <c r="G103" t="s">
        <v>665</v>
      </c>
      <c r="H103" t="s">
        <v>1172</v>
      </c>
      <c r="I103" t="s">
        <v>1173</v>
      </c>
      <c r="J103" t="s">
        <v>1174</v>
      </c>
      <c r="K103" t="s">
        <v>1175</v>
      </c>
      <c r="L103" t="s">
        <v>594</v>
      </c>
      <c r="M103" t="s">
        <v>593</v>
      </c>
      <c r="N103" t="s">
        <v>593</v>
      </c>
      <c r="O103" t="s">
        <v>594</v>
      </c>
      <c r="P103" t="s">
        <v>594</v>
      </c>
      <c r="Q103" t="s">
        <v>594</v>
      </c>
      <c r="R103" t="s">
        <v>594</v>
      </c>
      <c r="S103" t="s">
        <v>594</v>
      </c>
      <c r="T103">
        <v>102</v>
      </c>
      <c r="U103" t="s">
        <v>597</v>
      </c>
      <c r="V103" t="s">
        <v>598</v>
      </c>
      <c r="W103" t="s">
        <v>598</v>
      </c>
      <c r="X103" t="s">
        <v>625</v>
      </c>
      <c r="Y103" t="s">
        <v>600</v>
      </c>
      <c r="AB103" t="s">
        <v>600</v>
      </c>
      <c r="AC103" t="s">
        <v>600</v>
      </c>
      <c r="AI103" t="s">
        <v>601</v>
      </c>
      <c r="AJ103" t="s">
        <v>601</v>
      </c>
    </row>
    <row r="104" spans="1:36">
      <c r="A104" t="s">
        <v>1176</v>
      </c>
      <c r="B104">
        <v>13</v>
      </c>
      <c r="C104" t="s">
        <v>1156</v>
      </c>
      <c r="D104" t="s">
        <v>585</v>
      </c>
      <c r="E104" t="s">
        <v>586</v>
      </c>
      <c r="F104" t="s">
        <v>664</v>
      </c>
      <c r="G104" t="s">
        <v>665</v>
      </c>
      <c r="H104" t="s">
        <v>1177</v>
      </c>
      <c r="I104" t="s">
        <v>1178</v>
      </c>
      <c r="J104" t="s">
        <v>1179</v>
      </c>
      <c r="K104" t="s">
        <v>1180</v>
      </c>
      <c r="L104" t="s">
        <v>1181</v>
      </c>
      <c r="M104" t="s">
        <v>594</v>
      </c>
      <c r="N104" t="s">
        <v>593</v>
      </c>
      <c r="O104" t="s">
        <v>594</v>
      </c>
      <c r="P104" t="s">
        <v>594</v>
      </c>
      <c r="Q104" t="s">
        <v>594</v>
      </c>
      <c r="R104" t="s">
        <v>594</v>
      </c>
      <c r="S104" t="s">
        <v>594</v>
      </c>
      <c r="T104">
        <v>103</v>
      </c>
      <c r="U104" t="s">
        <v>597</v>
      </c>
      <c r="V104" t="s">
        <v>598</v>
      </c>
      <c r="W104" t="s">
        <v>598</v>
      </c>
      <c r="X104" t="s">
        <v>625</v>
      </c>
      <c r="Y104" t="s">
        <v>600</v>
      </c>
      <c r="AB104" t="s">
        <v>600</v>
      </c>
      <c r="AC104" t="s">
        <v>600</v>
      </c>
      <c r="AI104" t="s">
        <v>601</v>
      </c>
      <c r="AJ104" t="s">
        <v>601</v>
      </c>
    </row>
    <row r="105" spans="1:36">
      <c r="A105" t="s">
        <v>1182</v>
      </c>
      <c r="B105">
        <v>13</v>
      </c>
      <c r="C105" t="s">
        <v>1156</v>
      </c>
      <c r="D105" t="s">
        <v>752</v>
      </c>
      <c r="E105" t="s">
        <v>1025</v>
      </c>
      <c r="F105" t="s">
        <v>613</v>
      </c>
      <c r="G105" t="s">
        <v>614</v>
      </c>
      <c r="H105" t="s">
        <v>1183</v>
      </c>
      <c r="I105" t="s">
        <v>1184</v>
      </c>
      <c r="J105" t="s">
        <v>1185</v>
      </c>
      <c r="K105" t="s">
        <v>1186</v>
      </c>
      <c r="L105" t="s">
        <v>594</v>
      </c>
      <c r="M105" t="s">
        <v>593</v>
      </c>
      <c r="N105" t="s">
        <v>593</v>
      </c>
      <c r="O105" t="s">
        <v>594</v>
      </c>
      <c r="P105" t="s">
        <v>594</v>
      </c>
      <c r="Q105" t="s">
        <v>594</v>
      </c>
      <c r="R105" t="s">
        <v>594</v>
      </c>
      <c r="S105" t="s">
        <v>594</v>
      </c>
      <c r="T105">
        <v>104</v>
      </c>
      <c r="U105" t="s">
        <v>597</v>
      </c>
      <c r="V105" t="s">
        <v>598</v>
      </c>
      <c r="W105" t="s">
        <v>598</v>
      </c>
      <c r="X105" t="s">
        <v>625</v>
      </c>
      <c r="Y105" t="s">
        <v>600</v>
      </c>
      <c r="AB105" t="s">
        <v>600</v>
      </c>
      <c r="AC105" t="s">
        <v>600</v>
      </c>
      <c r="AI105" t="s">
        <v>601</v>
      </c>
      <c r="AJ105" t="s">
        <v>601</v>
      </c>
    </row>
    <row r="106" spans="1:36">
      <c r="A106" t="s">
        <v>1187</v>
      </c>
      <c r="B106">
        <v>13</v>
      </c>
      <c r="C106" t="s">
        <v>1156</v>
      </c>
      <c r="D106" t="s">
        <v>585</v>
      </c>
      <c r="E106" t="s">
        <v>586</v>
      </c>
      <c r="F106" t="s">
        <v>664</v>
      </c>
      <c r="G106" t="s">
        <v>665</v>
      </c>
      <c r="H106" t="s">
        <v>1188</v>
      </c>
      <c r="I106" t="s">
        <v>1189</v>
      </c>
      <c r="J106" t="s">
        <v>1190</v>
      </c>
      <c r="K106" t="s">
        <v>1191</v>
      </c>
      <c r="L106" t="s">
        <v>594</v>
      </c>
      <c r="M106" t="s">
        <v>594</v>
      </c>
      <c r="N106" t="s">
        <v>593</v>
      </c>
      <c r="O106" t="s">
        <v>594</v>
      </c>
      <c r="P106" t="s">
        <v>594</v>
      </c>
      <c r="Q106" t="s">
        <v>594</v>
      </c>
      <c r="R106" t="s">
        <v>594</v>
      </c>
      <c r="S106" t="s">
        <v>594</v>
      </c>
      <c r="T106">
        <v>105</v>
      </c>
      <c r="U106" t="s">
        <v>597</v>
      </c>
      <c r="V106" t="s">
        <v>598</v>
      </c>
      <c r="W106" t="s">
        <v>598</v>
      </c>
      <c r="X106" t="s">
        <v>625</v>
      </c>
      <c r="Y106" t="s">
        <v>600</v>
      </c>
      <c r="AB106" t="s">
        <v>600</v>
      </c>
      <c r="AC106" t="s">
        <v>600</v>
      </c>
      <c r="AI106" t="s">
        <v>601</v>
      </c>
      <c r="AJ106" t="s">
        <v>601</v>
      </c>
    </row>
    <row r="107" spans="1:36">
      <c r="A107" t="s">
        <v>1192</v>
      </c>
      <c r="B107">
        <v>13</v>
      </c>
      <c r="C107" t="s">
        <v>1156</v>
      </c>
      <c r="D107" t="s">
        <v>752</v>
      </c>
      <c r="E107" t="s">
        <v>1025</v>
      </c>
      <c r="F107" t="s">
        <v>664</v>
      </c>
      <c r="G107" t="s">
        <v>665</v>
      </c>
      <c r="H107" t="s">
        <v>1193</v>
      </c>
      <c r="I107" t="s">
        <v>1194</v>
      </c>
      <c r="J107" t="s">
        <v>1195</v>
      </c>
      <c r="K107" t="s">
        <v>1196</v>
      </c>
      <c r="L107" t="s">
        <v>594</v>
      </c>
      <c r="M107" t="s">
        <v>594</v>
      </c>
      <c r="N107" t="s">
        <v>593</v>
      </c>
      <c r="O107" t="s">
        <v>594</v>
      </c>
      <c r="P107" t="s">
        <v>594</v>
      </c>
      <c r="Q107" t="s">
        <v>594</v>
      </c>
      <c r="R107" t="s">
        <v>594</v>
      </c>
      <c r="S107" t="s">
        <v>594</v>
      </c>
      <c r="T107">
        <v>106</v>
      </c>
      <c r="U107" t="s">
        <v>597</v>
      </c>
      <c r="V107" t="s">
        <v>598</v>
      </c>
      <c r="W107" t="s">
        <v>598</v>
      </c>
      <c r="X107" t="s">
        <v>625</v>
      </c>
      <c r="Y107" t="s">
        <v>600</v>
      </c>
      <c r="AB107" t="s">
        <v>600</v>
      </c>
      <c r="AC107" t="s">
        <v>600</v>
      </c>
      <c r="AI107" t="s">
        <v>601</v>
      </c>
      <c r="AJ107" t="s">
        <v>601</v>
      </c>
    </row>
    <row r="108" spans="1:36">
      <c r="A108" t="s">
        <v>1197</v>
      </c>
      <c r="B108">
        <v>13</v>
      </c>
      <c r="C108" t="s">
        <v>1156</v>
      </c>
      <c r="D108" t="s">
        <v>585</v>
      </c>
      <c r="E108" t="s">
        <v>1025</v>
      </c>
      <c r="F108" t="s">
        <v>664</v>
      </c>
      <c r="G108" t="s">
        <v>665</v>
      </c>
      <c r="H108" t="s">
        <v>1198</v>
      </c>
      <c r="I108" t="s">
        <v>1199</v>
      </c>
      <c r="J108" t="s">
        <v>1200</v>
      </c>
      <c r="K108" t="s">
        <v>1201</v>
      </c>
      <c r="L108" t="s">
        <v>594</v>
      </c>
      <c r="M108" t="s">
        <v>594</v>
      </c>
      <c r="N108" t="s">
        <v>593</v>
      </c>
      <c r="O108" t="s">
        <v>594</v>
      </c>
      <c r="P108" t="s">
        <v>594</v>
      </c>
      <c r="Q108" t="s">
        <v>594</v>
      </c>
      <c r="R108" t="s">
        <v>594</v>
      </c>
      <c r="S108" t="s">
        <v>594</v>
      </c>
      <c r="T108">
        <v>107</v>
      </c>
      <c r="U108" t="s">
        <v>597</v>
      </c>
      <c r="V108" t="s">
        <v>598</v>
      </c>
      <c r="W108" t="s">
        <v>598</v>
      </c>
      <c r="X108" t="s">
        <v>625</v>
      </c>
      <c r="Y108" t="s">
        <v>600</v>
      </c>
      <c r="AB108" t="s">
        <v>600</v>
      </c>
      <c r="AC108" t="s">
        <v>600</v>
      </c>
      <c r="AI108" t="s">
        <v>601</v>
      </c>
      <c r="AJ108" t="s">
        <v>601</v>
      </c>
    </row>
    <row r="109" spans="1:36">
      <c r="A109" t="s">
        <v>1202</v>
      </c>
      <c r="B109">
        <v>13</v>
      </c>
      <c r="C109" t="s">
        <v>1156</v>
      </c>
      <c r="D109" t="s">
        <v>752</v>
      </c>
      <c r="E109" t="s">
        <v>1025</v>
      </c>
      <c r="F109" t="s">
        <v>664</v>
      </c>
      <c r="G109" t="s">
        <v>665</v>
      </c>
      <c r="H109" t="s">
        <v>1203</v>
      </c>
      <c r="I109" t="s">
        <v>1204</v>
      </c>
      <c r="J109" t="s">
        <v>1205</v>
      </c>
      <c r="K109" t="s">
        <v>1206</v>
      </c>
      <c r="L109" t="s">
        <v>594</v>
      </c>
      <c r="M109" t="s">
        <v>594</v>
      </c>
      <c r="N109" t="s">
        <v>593</v>
      </c>
      <c r="O109" t="s">
        <v>594</v>
      </c>
      <c r="P109" t="s">
        <v>594</v>
      </c>
      <c r="Q109" t="s">
        <v>594</v>
      </c>
      <c r="R109" t="s">
        <v>594</v>
      </c>
      <c r="S109" t="s">
        <v>594</v>
      </c>
      <c r="T109">
        <v>108</v>
      </c>
      <c r="U109" t="s">
        <v>597</v>
      </c>
      <c r="V109" t="s">
        <v>598</v>
      </c>
      <c r="W109" t="s">
        <v>598</v>
      </c>
      <c r="X109" t="s">
        <v>625</v>
      </c>
      <c r="Y109" t="s">
        <v>600</v>
      </c>
      <c r="AB109" t="s">
        <v>600</v>
      </c>
      <c r="AC109" t="s">
        <v>600</v>
      </c>
      <c r="AI109" t="s">
        <v>601</v>
      </c>
      <c r="AJ109" t="s">
        <v>601</v>
      </c>
    </row>
    <row r="110" spans="1:36">
      <c r="A110" t="s">
        <v>1207</v>
      </c>
      <c r="B110">
        <v>13</v>
      </c>
      <c r="C110" t="s">
        <v>1156</v>
      </c>
      <c r="D110" t="s">
        <v>752</v>
      </c>
      <c r="E110" t="s">
        <v>1025</v>
      </c>
      <c r="F110" t="s">
        <v>613</v>
      </c>
      <c r="G110" t="s">
        <v>614</v>
      </c>
      <c r="H110" t="s">
        <v>1208</v>
      </c>
      <c r="I110" t="s">
        <v>1209</v>
      </c>
      <c r="J110" t="s">
        <v>1210</v>
      </c>
      <c r="K110" t="s">
        <v>1211</v>
      </c>
      <c r="L110" t="s">
        <v>594</v>
      </c>
      <c r="M110" t="s">
        <v>594</v>
      </c>
      <c r="N110" t="s">
        <v>593</v>
      </c>
      <c r="O110" t="s">
        <v>594</v>
      </c>
      <c r="P110" t="s">
        <v>594</v>
      </c>
      <c r="Q110" t="s">
        <v>594</v>
      </c>
      <c r="R110" t="s">
        <v>594</v>
      </c>
      <c r="S110" t="s">
        <v>594</v>
      </c>
      <c r="T110">
        <v>109</v>
      </c>
      <c r="U110" t="s">
        <v>597</v>
      </c>
      <c r="V110" t="s">
        <v>598</v>
      </c>
      <c r="W110" t="s">
        <v>598</v>
      </c>
      <c r="X110" t="s">
        <v>625</v>
      </c>
      <c r="Y110" t="s">
        <v>600</v>
      </c>
      <c r="AB110" t="s">
        <v>600</v>
      </c>
      <c r="AC110" t="s">
        <v>600</v>
      </c>
      <c r="AI110" t="s">
        <v>601</v>
      </c>
      <c r="AJ110" t="s">
        <v>601</v>
      </c>
    </row>
    <row r="111" spans="1:36">
      <c r="A111" t="s">
        <v>1212</v>
      </c>
      <c r="B111">
        <v>14</v>
      </c>
      <c r="C111" t="s">
        <v>1213</v>
      </c>
      <c r="D111" t="s">
        <v>107</v>
      </c>
      <c r="E111" t="s">
        <v>773</v>
      </c>
      <c r="F111" t="s">
        <v>664</v>
      </c>
      <c r="G111" t="s">
        <v>690</v>
      </c>
      <c r="H111" t="s">
        <v>1214</v>
      </c>
      <c r="I111" t="s">
        <v>1215</v>
      </c>
      <c r="J111" t="s">
        <v>1216</v>
      </c>
      <c r="K111" t="s">
        <v>1217</v>
      </c>
      <c r="L111" t="s">
        <v>593</v>
      </c>
      <c r="M111" t="s">
        <v>593</v>
      </c>
      <c r="N111" t="s">
        <v>593</v>
      </c>
      <c r="O111" t="s">
        <v>594</v>
      </c>
      <c r="P111" t="s">
        <v>594</v>
      </c>
      <c r="Q111" t="s">
        <v>594</v>
      </c>
      <c r="R111" t="s">
        <v>594</v>
      </c>
      <c r="S111" t="s">
        <v>594</v>
      </c>
      <c r="T111">
        <v>110</v>
      </c>
      <c r="U111" t="s">
        <v>597</v>
      </c>
      <c r="V111" t="s">
        <v>598</v>
      </c>
      <c r="W111" t="s">
        <v>598</v>
      </c>
      <c r="X111" t="s">
        <v>625</v>
      </c>
      <c r="Y111" t="s">
        <v>600</v>
      </c>
      <c r="AB111" t="s">
        <v>600</v>
      </c>
      <c r="AC111" t="s">
        <v>600</v>
      </c>
      <c r="AI111" t="s">
        <v>601</v>
      </c>
      <c r="AJ111" t="s">
        <v>601</v>
      </c>
    </row>
    <row r="112" spans="1:36">
      <c r="A112" t="s">
        <v>1218</v>
      </c>
      <c r="B112">
        <v>14</v>
      </c>
      <c r="C112" t="s">
        <v>1213</v>
      </c>
      <c r="D112" t="s">
        <v>107</v>
      </c>
      <c r="E112" t="s">
        <v>356</v>
      </c>
      <c r="F112" t="s">
        <v>664</v>
      </c>
      <c r="G112" t="s">
        <v>665</v>
      </c>
      <c r="H112" t="s">
        <v>1219</v>
      </c>
      <c r="I112" t="s">
        <v>1220</v>
      </c>
      <c r="J112" t="s">
        <v>1221</v>
      </c>
      <c r="K112" t="s">
        <v>1222</v>
      </c>
      <c r="L112" t="s">
        <v>593</v>
      </c>
      <c r="M112" t="s">
        <v>593</v>
      </c>
      <c r="N112" t="s">
        <v>593</v>
      </c>
      <c r="O112" t="s">
        <v>594</v>
      </c>
      <c r="P112" t="s">
        <v>594</v>
      </c>
      <c r="Q112" t="s">
        <v>594</v>
      </c>
      <c r="R112" t="s">
        <v>594</v>
      </c>
      <c r="S112" t="s">
        <v>594</v>
      </c>
      <c r="T112">
        <v>111</v>
      </c>
      <c r="U112" t="s">
        <v>597</v>
      </c>
      <c r="V112" t="s">
        <v>598</v>
      </c>
      <c r="W112" t="s">
        <v>598</v>
      </c>
      <c r="X112" t="s">
        <v>625</v>
      </c>
      <c r="Y112" t="s">
        <v>600</v>
      </c>
      <c r="AB112" t="s">
        <v>600</v>
      </c>
      <c r="AC112" t="s">
        <v>600</v>
      </c>
      <c r="AI112" t="s">
        <v>601</v>
      </c>
      <c r="AJ112" t="s">
        <v>601</v>
      </c>
    </row>
    <row r="113" spans="1:36">
      <c r="A113" t="s">
        <v>1223</v>
      </c>
      <c r="B113">
        <v>14</v>
      </c>
      <c r="C113" t="s">
        <v>1213</v>
      </c>
      <c r="D113" t="s">
        <v>107</v>
      </c>
      <c r="E113" t="s">
        <v>356</v>
      </c>
      <c r="F113" t="s">
        <v>664</v>
      </c>
      <c r="G113" t="s">
        <v>665</v>
      </c>
      <c r="H113" t="s">
        <v>1224</v>
      </c>
      <c r="I113" t="s">
        <v>1225</v>
      </c>
      <c r="J113" t="s">
        <v>1226</v>
      </c>
      <c r="K113" t="s">
        <v>1227</v>
      </c>
      <c r="L113" t="s">
        <v>593</v>
      </c>
      <c r="M113" t="s">
        <v>593</v>
      </c>
      <c r="N113" t="s">
        <v>593</v>
      </c>
      <c r="O113" t="s">
        <v>594</v>
      </c>
      <c r="P113" t="s">
        <v>594</v>
      </c>
      <c r="Q113" t="s">
        <v>594</v>
      </c>
      <c r="R113" t="s">
        <v>594</v>
      </c>
      <c r="S113" t="s">
        <v>594</v>
      </c>
      <c r="T113">
        <v>112</v>
      </c>
      <c r="U113" t="s">
        <v>597</v>
      </c>
      <c r="V113" t="s">
        <v>598</v>
      </c>
      <c r="W113" t="s">
        <v>598</v>
      </c>
      <c r="X113" t="s">
        <v>625</v>
      </c>
      <c r="Y113" t="s">
        <v>600</v>
      </c>
      <c r="AB113" t="s">
        <v>600</v>
      </c>
      <c r="AC113" t="s">
        <v>600</v>
      </c>
      <c r="AI113" t="s">
        <v>601</v>
      </c>
      <c r="AJ113" t="s">
        <v>601</v>
      </c>
    </row>
    <row r="114" spans="1:36">
      <c r="A114" t="s">
        <v>1228</v>
      </c>
      <c r="B114">
        <v>14</v>
      </c>
      <c r="C114" t="s">
        <v>1213</v>
      </c>
      <c r="D114" t="s">
        <v>107</v>
      </c>
      <c r="E114" t="s">
        <v>356</v>
      </c>
      <c r="F114" t="s">
        <v>664</v>
      </c>
      <c r="G114" t="s">
        <v>665</v>
      </c>
      <c r="H114" t="s">
        <v>1229</v>
      </c>
      <c r="I114" t="s">
        <v>1230</v>
      </c>
      <c r="J114" t="s">
        <v>1231</v>
      </c>
      <c r="K114" t="s">
        <v>1232</v>
      </c>
      <c r="L114" t="s">
        <v>593</v>
      </c>
      <c r="M114" t="s">
        <v>593</v>
      </c>
      <c r="N114" t="s">
        <v>593</v>
      </c>
      <c r="O114" t="s">
        <v>594</v>
      </c>
      <c r="P114" t="s">
        <v>594</v>
      </c>
      <c r="Q114" t="s">
        <v>594</v>
      </c>
      <c r="R114" t="s">
        <v>594</v>
      </c>
      <c r="S114" t="s">
        <v>594</v>
      </c>
      <c r="T114">
        <v>113</v>
      </c>
      <c r="U114" t="s">
        <v>597</v>
      </c>
      <c r="V114" t="s">
        <v>598</v>
      </c>
      <c r="W114" t="s">
        <v>598</v>
      </c>
      <c r="X114" t="s">
        <v>625</v>
      </c>
      <c r="Y114" t="s">
        <v>600</v>
      </c>
      <c r="AB114" t="s">
        <v>600</v>
      </c>
      <c r="AC114" t="s">
        <v>600</v>
      </c>
      <c r="AI114" t="s">
        <v>601</v>
      </c>
      <c r="AJ114" t="s">
        <v>601</v>
      </c>
    </row>
    <row r="115" spans="1:36">
      <c r="A115" t="s">
        <v>1233</v>
      </c>
      <c r="B115">
        <v>14</v>
      </c>
      <c r="C115" t="s">
        <v>1213</v>
      </c>
      <c r="D115" t="s">
        <v>107</v>
      </c>
      <c r="E115" t="s">
        <v>356</v>
      </c>
      <c r="F115" t="s">
        <v>664</v>
      </c>
      <c r="G115" t="s">
        <v>665</v>
      </c>
      <c r="H115" t="s">
        <v>1234</v>
      </c>
      <c r="I115" t="s">
        <v>1235</v>
      </c>
      <c r="J115" t="s">
        <v>1236</v>
      </c>
      <c r="K115" t="s">
        <v>1237</v>
      </c>
      <c r="L115" t="s">
        <v>593</v>
      </c>
      <c r="M115" t="s">
        <v>593</v>
      </c>
      <c r="N115" t="s">
        <v>593</v>
      </c>
      <c r="O115" t="s">
        <v>594</v>
      </c>
      <c r="P115" t="s">
        <v>594</v>
      </c>
      <c r="Q115" t="s">
        <v>594</v>
      </c>
      <c r="R115" t="s">
        <v>594</v>
      </c>
      <c r="S115" t="s">
        <v>594</v>
      </c>
      <c r="T115">
        <v>114</v>
      </c>
      <c r="U115" t="s">
        <v>597</v>
      </c>
      <c r="V115" t="s">
        <v>598</v>
      </c>
      <c r="W115" t="s">
        <v>598</v>
      </c>
      <c r="X115" t="s">
        <v>625</v>
      </c>
      <c r="Y115" t="s">
        <v>600</v>
      </c>
      <c r="AB115" t="s">
        <v>600</v>
      </c>
      <c r="AC115" t="s">
        <v>600</v>
      </c>
      <c r="AI115" t="s">
        <v>601</v>
      </c>
      <c r="AJ115" t="s">
        <v>601</v>
      </c>
    </row>
    <row r="116" spans="1:36">
      <c r="A116" t="s">
        <v>1238</v>
      </c>
      <c r="B116">
        <v>14</v>
      </c>
      <c r="C116" t="s">
        <v>1213</v>
      </c>
      <c r="D116" t="s">
        <v>107</v>
      </c>
      <c r="E116" t="s">
        <v>356</v>
      </c>
      <c r="F116" t="s">
        <v>664</v>
      </c>
      <c r="G116" t="s">
        <v>665</v>
      </c>
      <c r="H116" t="s">
        <v>1239</v>
      </c>
      <c r="I116" t="s">
        <v>1240</v>
      </c>
      <c r="J116" t="s">
        <v>1241</v>
      </c>
      <c r="K116" t="s">
        <v>1242</v>
      </c>
      <c r="L116" t="s">
        <v>593</v>
      </c>
      <c r="M116" t="s">
        <v>593</v>
      </c>
      <c r="N116" t="s">
        <v>593</v>
      </c>
      <c r="O116" t="s">
        <v>594</v>
      </c>
      <c r="P116" t="s">
        <v>594</v>
      </c>
      <c r="Q116" t="s">
        <v>594</v>
      </c>
      <c r="R116" t="s">
        <v>594</v>
      </c>
      <c r="S116" t="s">
        <v>594</v>
      </c>
      <c r="T116">
        <v>115</v>
      </c>
      <c r="U116" t="s">
        <v>597</v>
      </c>
      <c r="V116" t="s">
        <v>598</v>
      </c>
      <c r="W116" t="s">
        <v>598</v>
      </c>
      <c r="X116" t="s">
        <v>625</v>
      </c>
      <c r="Y116" t="s">
        <v>600</v>
      </c>
      <c r="AB116" t="s">
        <v>600</v>
      </c>
      <c r="AC116" t="s">
        <v>600</v>
      </c>
      <c r="AI116" t="s">
        <v>601</v>
      </c>
      <c r="AJ116" t="s">
        <v>601</v>
      </c>
    </row>
    <row r="117" spans="1:36">
      <c r="A117" t="s">
        <v>1243</v>
      </c>
      <c r="B117">
        <v>14</v>
      </c>
      <c r="C117" t="s">
        <v>1213</v>
      </c>
      <c r="D117" t="s">
        <v>107</v>
      </c>
      <c r="E117" t="s">
        <v>356</v>
      </c>
      <c r="F117" t="s">
        <v>664</v>
      </c>
      <c r="G117" t="s">
        <v>665</v>
      </c>
      <c r="H117" t="s">
        <v>1244</v>
      </c>
      <c r="I117" t="s">
        <v>1245</v>
      </c>
      <c r="J117" t="s">
        <v>1246</v>
      </c>
      <c r="K117" t="s">
        <v>1247</v>
      </c>
      <c r="L117" t="s">
        <v>593</v>
      </c>
      <c r="M117" t="s">
        <v>593</v>
      </c>
      <c r="N117" t="s">
        <v>593</v>
      </c>
      <c r="O117" t="s">
        <v>594</v>
      </c>
      <c r="P117" t="s">
        <v>594</v>
      </c>
      <c r="Q117" t="s">
        <v>594</v>
      </c>
      <c r="R117" t="s">
        <v>594</v>
      </c>
      <c r="S117" t="s">
        <v>594</v>
      </c>
      <c r="T117">
        <v>116</v>
      </c>
      <c r="U117" t="s">
        <v>597</v>
      </c>
      <c r="V117" t="s">
        <v>598</v>
      </c>
      <c r="W117" t="s">
        <v>598</v>
      </c>
      <c r="X117" t="s">
        <v>625</v>
      </c>
      <c r="Y117" t="s">
        <v>600</v>
      </c>
      <c r="AB117" t="s">
        <v>600</v>
      </c>
      <c r="AC117" t="s">
        <v>600</v>
      </c>
      <c r="AI117" t="s">
        <v>601</v>
      </c>
      <c r="AJ117" t="s">
        <v>601</v>
      </c>
    </row>
    <row r="118" spans="1:36">
      <c r="A118" t="s">
        <v>1248</v>
      </c>
      <c r="B118">
        <v>14</v>
      </c>
      <c r="C118" t="s">
        <v>1213</v>
      </c>
      <c r="D118" t="s">
        <v>107</v>
      </c>
      <c r="E118" t="s">
        <v>356</v>
      </c>
      <c r="F118" t="s">
        <v>664</v>
      </c>
      <c r="G118" t="s">
        <v>665</v>
      </c>
      <c r="H118" t="s">
        <v>1249</v>
      </c>
      <c r="I118" t="s">
        <v>1250</v>
      </c>
      <c r="J118" t="s">
        <v>1251</v>
      </c>
      <c r="K118" t="s">
        <v>1252</v>
      </c>
      <c r="L118" t="s">
        <v>593</v>
      </c>
      <c r="M118" t="s">
        <v>593</v>
      </c>
      <c r="N118" t="s">
        <v>593</v>
      </c>
      <c r="O118" t="s">
        <v>594</v>
      </c>
      <c r="P118" t="s">
        <v>594</v>
      </c>
      <c r="Q118" t="s">
        <v>594</v>
      </c>
      <c r="R118" t="s">
        <v>594</v>
      </c>
      <c r="S118" t="s">
        <v>594</v>
      </c>
      <c r="T118">
        <v>117</v>
      </c>
      <c r="U118" t="s">
        <v>597</v>
      </c>
      <c r="V118" t="s">
        <v>598</v>
      </c>
      <c r="W118" t="s">
        <v>598</v>
      </c>
      <c r="X118" t="s">
        <v>625</v>
      </c>
      <c r="Y118" t="s">
        <v>600</v>
      </c>
      <c r="AB118" t="s">
        <v>600</v>
      </c>
      <c r="AC118" t="s">
        <v>600</v>
      </c>
      <c r="AI118" t="s">
        <v>601</v>
      </c>
      <c r="AJ118" t="s">
        <v>601</v>
      </c>
    </row>
    <row r="119" spans="1:36">
      <c r="A119" t="s">
        <v>1253</v>
      </c>
      <c r="B119">
        <v>14</v>
      </c>
      <c r="C119" t="s">
        <v>1213</v>
      </c>
      <c r="D119" t="s">
        <v>107</v>
      </c>
      <c r="E119" t="s">
        <v>356</v>
      </c>
      <c r="F119" t="s">
        <v>664</v>
      </c>
      <c r="G119" t="s">
        <v>665</v>
      </c>
      <c r="H119" t="s">
        <v>1254</v>
      </c>
      <c r="I119" t="s">
        <v>1255</v>
      </c>
      <c r="J119" t="s">
        <v>1256</v>
      </c>
      <c r="K119" t="s">
        <v>1257</v>
      </c>
      <c r="L119" t="s">
        <v>594</v>
      </c>
      <c r="M119" t="s">
        <v>593</v>
      </c>
      <c r="N119" t="s">
        <v>593</v>
      </c>
      <c r="O119" t="s">
        <v>594</v>
      </c>
      <c r="P119" t="s">
        <v>594</v>
      </c>
      <c r="Q119" t="s">
        <v>594</v>
      </c>
      <c r="R119" t="s">
        <v>594</v>
      </c>
      <c r="S119" t="s">
        <v>594</v>
      </c>
      <c r="T119">
        <v>118</v>
      </c>
      <c r="U119" t="s">
        <v>597</v>
      </c>
      <c r="V119" t="s">
        <v>598</v>
      </c>
      <c r="W119" t="s">
        <v>598</v>
      </c>
      <c r="X119" t="s">
        <v>625</v>
      </c>
      <c r="Y119" t="s">
        <v>600</v>
      </c>
      <c r="AB119" t="s">
        <v>600</v>
      </c>
      <c r="AC119" t="s">
        <v>600</v>
      </c>
      <c r="AI119" t="s">
        <v>601</v>
      </c>
      <c r="AJ119" t="s">
        <v>601</v>
      </c>
    </row>
    <row r="120" spans="1:36">
      <c r="A120" t="s">
        <v>1258</v>
      </c>
      <c r="B120">
        <v>15</v>
      </c>
      <c r="C120" t="s">
        <v>1259</v>
      </c>
      <c r="D120" t="s">
        <v>107</v>
      </c>
      <c r="E120" t="s">
        <v>356</v>
      </c>
      <c r="F120" t="s">
        <v>587</v>
      </c>
      <c r="G120" t="s">
        <v>588</v>
      </c>
      <c r="H120" t="s">
        <v>1260</v>
      </c>
      <c r="I120" t="s">
        <v>1261</v>
      </c>
      <c r="J120" t="s">
        <v>1262</v>
      </c>
      <c r="K120" t="s">
        <v>1263</v>
      </c>
      <c r="L120" t="s">
        <v>593</v>
      </c>
      <c r="M120" t="s">
        <v>593</v>
      </c>
      <c r="N120" t="s">
        <v>593</v>
      </c>
      <c r="O120" t="s">
        <v>594</v>
      </c>
      <c r="P120" t="s">
        <v>594</v>
      </c>
      <c r="Q120" t="s">
        <v>594</v>
      </c>
      <c r="R120" t="s">
        <v>594</v>
      </c>
      <c r="S120" t="s">
        <v>594</v>
      </c>
      <c r="T120">
        <v>119</v>
      </c>
      <c r="U120" t="s">
        <v>597</v>
      </c>
      <c r="V120" t="s">
        <v>598</v>
      </c>
      <c r="W120" t="s">
        <v>598</v>
      </c>
      <c r="X120" t="s">
        <v>625</v>
      </c>
      <c r="Y120" t="s">
        <v>600</v>
      </c>
      <c r="AB120" t="s">
        <v>600</v>
      </c>
      <c r="AC120" t="s">
        <v>600</v>
      </c>
      <c r="AI120" t="s">
        <v>601</v>
      </c>
      <c r="AJ120" t="s">
        <v>601</v>
      </c>
    </row>
    <row r="121" spans="1:36">
      <c r="A121" t="s">
        <v>1264</v>
      </c>
      <c r="B121">
        <v>15</v>
      </c>
      <c r="C121" t="s">
        <v>1259</v>
      </c>
      <c r="D121" t="s">
        <v>107</v>
      </c>
      <c r="E121" t="s">
        <v>773</v>
      </c>
      <c r="F121" t="s">
        <v>587</v>
      </c>
      <c r="G121" t="s">
        <v>690</v>
      </c>
      <c r="H121" t="s">
        <v>1265</v>
      </c>
      <c r="I121" t="s">
        <v>1266</v>
      </c>
      <c r="J121" t="s">
        <v>1267</v>
      </c>
      <c r="K121" t="s">
        <v>1268</v>
      </c>
      <c r="L121" t="s">
        <v>594</v>
      </c>
      <c r="M121" t="s">
        <v>593</v>
      </c>
      <c r="N121" t="s">
        <v>593</v>
      </c>
      <c r="O121" t="s">
        <v>594</v>
      </c>
      <c r="P121" t="s">
        <v>594</v>
      </c>
      <c r="Q121" t="s">
        <v>594</v>
      </c>
      <c r="R121" t="s">
        <v>594</v>
      </c>
      <c r="S121" t="s">
        <v>594</v>
      </c>
      <c r="T121">
        <v>120</v>
      </c>
      <c r="U121" t="s">
        <v>597</v>
      </c>
      <c r="V121" t="s">
        <v>598</v>
      </c>
      <c r="W121" t="s">
        <v>598</v>
      </c>
      <c r="X121" t="s">
        <v>625</v>
      </c>
      <c r="Y121" t="s">
        <v>600</v>
      </c>
      <c r="AB121" t="s">
        <v>600</v>
      </c>
      <c r="AC121" t="s">
        <v>600</v>
      </c>
      <c r="AI121" t="s">
        <v>601</v>
      </c>
      <c r="AJ121" t="s">
        <v>601</v>
      </c>
    </row>
    <row r="122" spans="1:36">
      <c r="A122" t="s">
        <v>1269</v>
      </c>
      <c r="B122">
        <v>15</v>
      </c>
      <c r="C122" t="s">
        <v>1259</v>
      </c>
      <c r="D122" t="s">
        <v>107</v>
      </c>
      <c r="E122" t="s">
        <v>356</v>
      </c>
      <c r="F122" t="s">
        <v>587</v>
      </c>
      <c r="G122" t="s">
        <v>690</v>
      </c>
      <c r="H122" t="s">
        <v>1270</v>
      </c>
      <c r="I122" t="s">
        <v>1271</v>
      </c>
      <c r="J122" t="s">
        <v>1272</v>
      </c>
      <c r="K122" t="s">
        <v>1273</v>
      </c>
      <c r="L122" t="s">
        <v>594</v>
      </c>
      <c r="M122" t="s">
        <v>593</v>
      </c>
      <c r="N122" t="s">
        <v>593</v>
      </c>
      <c r="O122" t="s">
        <v>594</v>
      </c>
      <c r="P122" t="s">
        <v>594</v>
      </c>
      <c r="Q122" t="s">
        <v>594</v>
      </c>
      <c r="R122" t="s">
        <v>594</v>
      </c>
      <c r="S122" t="s">
        <v>594</v>
      </c>
      <c r="T122">
        <v>121</v>
      </c>
      <c r="U122" t="s">
        <v>597</v>
      </c>
      <c r="V122" t="s">
        <v>598</v>
      </c>
      <c r="W122" t="s">
        <v>598</v>
      </c>
      <c r="X122" t="s">
        <v>625</v>
      </c>
      <c r="Y122" t="s">
        <v>600</v>
      </c>
      <c r="AB122" t="s">
        <v>600</v>
      </c>
      <c r="AC122" t="s">
        <v>600</v>
      </c>
      <c r="AI122" t="s">
        <v>601</v>
      </c>
      <c r="AJ122" t="s">
        <v>601</v>
      </c>
    </row>
    <row r="123" spans="1:36">
      <c r="A123" t="s">
        <v>1274</v>
      </c>
      <c r="B123">
        <v>15</v>
      </c>
      <c r="C123" t="s">
        <v>1259</v>
      </c>
      <c r="D123" t="s">
        <v>107</v>
      </c>
      <c r="E123" t="s">
        <v>773</v>
      </c>
      <c r="F123" t="s">
        <v>664</v>
      </c>
      <c r="G123" t="s">
        <v>690</v>
      </c>
      <c r="H123" t="s">
        <v>1275</v>
      </c>
      <c r="I123" t="s">
        <v>1276</v>
      </c>
      <c r="J123" t="s">
        <v>1277</v>
      </c>
      <c r="K123" t="s">
        <v>1278</v>
      </c>
      <c r="L123" t="s">
        <v>594</v>
      </c>
      <c r="M123" t="s">
        <v>593</v>
      </c>
      <c r="N123" t="s">
        <v>593</v>
      </c>
      <c r="O123" t="s">
        <v>594</v>
      </c>
      <c r="P123" t="s">
        <v>594</v>
      </c>
      <c r="Q123" t="s">
        <v>594</v>
      </c>
      <c r="R123" t="s">
        <v>594</v>
      </c>
      <c r="S123" t="s">
        <v>594</v>
      </c>
      <c r="T123">
        <v>122</v>
      </c>
      <c r="U123" t="s">
        <v>597</v>
      </c>
      <c r="V123" t="s">
        <v>598</v>
      </c>
      <c r="W123" t="s">
        <v>598</v>
      </c>
      <c r="X123" t="s">
        <v>625</v>
      </c>
      <c r="Y123" t="s">
        <v>600</v>
      </c>
      <c r="AB123" t="s">
        <v>600</v>
      </c>
      <c r="AC123" t="s">
        <v>600</v>
      </c>
      <c r="AI123" t="s">
        <v>601</v>
      </c>
      <c r="AJ123" t="s">
        <v>601</v>
      </c>
    </row>
    <row r="124" spans="1:36">
      <c r="A124" t="s">
        <v>1279</v>
      </c>
      <c r="B124">
        <v>15</v>
      </c>
      <c r="C124" t="s">
        <v>1259</v>
      </c>
      <c r="D124" t="s">
        <v>107</v>
      </c>
      <c r="E124" t="s">
        <v>356</v>
      </c>
      <c r="F124" t="s">
        <v>587</v>
      </c>
      <c r="G124" t="s">
        <v>690</v>
      </c>
      <c r="H124" t="s">
        <v>1280</v>
      </c>
      <c r="I124" t="s">
        <v>1281</v>
      </c>
      <c r="J124" t="s">
        <v>1282</v>
      </c>
      <c r="K124" t="s">
        <v>1283</v>
      </c>
      <c r="L124" t="s">
        <v>594</v>
      </c>
      <c r="M124" t="s">
        <v>594</v>
      </c>
      <c r="N124" t="s">
        <v>593</v>
      </c>
      <c r="O124" t="s">
        <v>594</v>
      </c>
      <c r="P124" t="s">
        <v>594</v>
      </c>
      <c r="Q124" t="s">
        <v>594</v>
      </c>
      <c r="R124" t="s">
        <v>594</v>
      </c>
      <c r="S124" t="s">
        <v>594</v>
      </c>
      <c r="T124">
        <v>123</v>
      </c>
      <c r="U124" t="s">
        <v>597</v>
      </c>
      <c r="V124" t="s">
        <v>598</v>
      </c>
      <c r="W124" t="s">
        <v>598</v>
      </c>
      <c r="X124" t="s">
        <v>625</v>
      </c>
      <c r="Y124" t="s">
        <v>600</v>
      </c>
      <c r="AB124" t="s">
        <v>600</v>
      </c>
      <c r="AC124" t="s">
        <v>600</v>
      </c>
      <c r="AI124" t="s">
        <v>601</v>
      </c>
      <c r="AJ124" t="s">
        <v>601</v>
      </c>
    </row>
    <row r="125" spans="1:36">
      <c r="A125" t="s">
        <v>1284</v>
      </c>
      <c r="B125">
        <v>15</v>
      </c>
      <c r="C125" t="s">
        <v>1259</v>
      </c>
      <c r="D125" t="s">
        <v>349</v>
      </c>
      <c r="E125" t="s">
        <v>689</v>
      </c>
      <c r="F125" t="s">
        <v>613</v>
      </c>
      <c r="G125" t="s">
        <v>690</v>
      </c>
      <c r="H125" t="s">
        <v>1285</v>
      </c>
      <c r="I125" t="s">
        <v>1286</v>
      </c>
      <c r="J125" t="s">
        <v>1287</v>
      </c>
      <c r="K125" t="s">
        <v>1288</v>
      </c>
      <c r="L125" t="s">
        <v>594</v>
      </c>
      <c r="M125" t="s">
        <v>594</v>
      </c>
      <c r="N125" t="s">
        <v>593</v>
      </c>
      <c r="O125" t="s">
        <v>594</v>
      </c>
      <c r="P125" t="s">
        <v>594</v>
      </c>
      <c r="Q125" t="s">
        <v>594</v>
      </c>
      <c r="R125" t="s">
        <v>594</v>
      </c>
      <c r="S125" t="s">
        <v>594</v>
      </c>
      <c r="T125">
        <v>124</v>
      </c>
      <c r="U125" t="s">
        <v>597</v>
      </c>
      <c r="V125" t="s">
        <v>598</v>
      </c>
      <c r="W125" t="s">
        <v>598</v>
      </c>
      <c r="X125" t="s">
        <v>625</v>
      </c>
      <c r="Y125" t="s">
        <v>600</v>
      </c>
      <c r="AB125" t="s">
        <v>600</v>
      </c>
      <c r="AC125" t="s">
        <v>600</v>
      </c>
      <c r="AI125" t="s">
        <v>601</v>
      </c>
      <c r="AJ125" t="s">
        <v>601</v>
      </c>
    </row>
    <row r="126" spans="1:36">
      <c r="A126" t="s">
        <v>1289</v>
      </c>
      <c r="B126">
        <v>15</v>
      </c>
      <c r="C126" t="s">
        <v>1259</v>
      </c>
      <c r="D126" t="s">
        <v>349</v>
      </c>
      <c r="E126" t="s">
        <v>689</v>
      </c>
      <c r="F126" t="s">
        <v>664</v>
      </c>
      <c r="G126" t="s">
        <v>665</v>
      </c>
      <c r="H126" t="s">
        <v>1290</v>
      </c>
      <c r="I126" t="s">
        <v>1291</v>
      </c>
      <c r="J126" t="s">
        <v>1292</v>
      </c>
      <c r="K126" t="s">
        <v>1293</v>
      </c>
      <c r="L126" t="s">
        <v>594</v>
      </c>
      <c r="M126" t="s">
        <v>594</v>
      </c>
      <c r="N126" t="s">
        <v>593</v>
      </c>
      <c r="O126" t="s">
        <v>594</v>
      </c>
      <c r="P126" t="s">
        <v>594</v>
      </c>
      <c r="Q126" t="s">
        <v>594</v>
      </c>
      <c r="R126" t="s">
        <v>594</v>
      </c>
      <c r="S126" t="s">
        <v>594</v>
      </c>
      <c r="T126">
        <v>125</v>
      </c>
      <c r="U126" t="s">
        <v>597</v>
      </c>
      <c r="V126" t="s">
        <v>598</v>
      </c>
      <c r="W126" t="s">
        <v>598</v>
      </c>
      <c r="X126" t="s">
        <v>625</v>
      </c>
      <c r="Y126" t="s">
        <v>600</v>
      </c>
      <c r="AB126" t="s">
        <v>600</v>
      </c>
      <c r="AC126" t="s">
        <v>600</v>
      </c>
      <c r="AI126" t="s">
        <v>601</v>
      </c>
      <c r="AJ126" t="s">
        <v>601</v>
      </c>
    </row>
    <row r="127" spans="1:36">
      <c r="A127" t="s">
        <v>1294</v>
      </c>
      <c r="B127">
        <v>16</v>
      </c>
      <c r="C127" t="s">
        <v>1295</v>
      </c>
      <c r="D127" t="s">
        <v>633</v>
      </c>
      <c r="E127" t="s">
        <v>773</v>
      </c>
      <c r="F127" t="s">
        <v>664</v>
      </c>
      <c r="G127" t="s">
        <v>690</v>
      </c>
      <c r="H127" t="s">
        <v>1296</v>
      </c>
      <c r="I127" t="s">
        <v>1297</v>
      </c>
      <c r="J127" t="s">
        <v>1298</v>
      </c>
      <c r="K127" t="s">
        <v>1299</v>
      </c>
      <c r="L127" t="s">
        <v>594</v>
      </c>
      <c r="M127" t="s">
        <v>593</v>
      </c>
      <c r="N127" t="s">
        <v>593</v>
      </c>
      <c r="O127" t="s">
        <v>594</v>
      </c>
      <c r="P127" t="s">
        <v>594</v>
      </c>
      <c r="Q127" t="s">
        <v>594</v>
      </c>
      <c r="R127" t="s">
        <v>594</v>
      </c>
      <c r="S127" t="s">
        <v>594</v>
      </c>
      <c r="T127">
        <v>126</v>
      </c>
      <c r="U127" t="s">
        <v>597</v>
      </c>
      <c r="V127" t="s">
        <v>598</v>
      </c>
      <c r="W127" t="s">
        <v>598</v>
      </c>
      <c r="X127" t="s">
        <v>672</v>
      </c>
      <c r="Y127" t="s">
        <v>600</v>
      </c>
      <c r="AB127" t="s">
        <v>600</v>
      </c>
      <c r="AC127" t="s">
        <v>600</v>
      </c>
      <c r="AI127" t="s">
        <v>601</v>
      </c>
      <c r="AJ127" t="s">
        <v>601</v>
      </c>
    </row>
    <row r="128" spans="1:36">
      <c r="A128" t="s">
        <v>1300</v>
      </c>
      <c r="B128">
        <v>16</v>
      </c>
      <c r="C128" t="s">
        <v>1295</v>
      </c>
      <c r="D128" t="s">
        <v>633</v>
      </c>
      <c r="E128" t="s">
        <v>773</v>
      </c>
      <c r="F128" t="s">
        <v>664</v>
      </c>
      <c r="G128" t="s">
        <v>690</v>
      </c>
      <c r="H128" t="s">
        <v>1301</v>
      </c>
      <c r="I128" t="s">
        <v>1302</v>
      </c>
      <c r="J128" t="s">
        <v>1303</v>
      </c>
      <c r="K128" t="s">
        <v>1304</v>
      </c>
      <c r="L128" t="s">
        <v>594</v>
      </c>
      <c r="M128" t="s">
        <v>593</v>
      </c>
      <c r="N128" t="s">
        <v>593</v>
      </c>
      <c r="O128" t="s">
        <v>594</v>
      </c>
      <c r="P128" t="s">
        <v>594</v>
      </c>
      <c r="Q128" t="s">
        <v>594</v>
      </c>
      <c r="R128" t="s">
        <v>594</v>
      </c>
      <c r="S128" t="s">
        <v>594</v>
      </c>
      <c r="T128">
        <v>127</v>
      </c>
      <c r="U128" t="s">
        <v>597</v>
      </c>
      <c r="V128" t="s">
        <v>598</v>
      </c>
      <c r="W128" t="s">
        <v>598</v>
      </c>
      <c r="X128" t="s">
        <v>625</v>
      </c>
      <c r="Y128" t="s">
        <v>600</v>
      </c>
      <c r="AB128" t="s">
        <v>600</v>
      </c>
      <c r="AC128" t="s">
        <v>600</v>
      </c>
      <c r="AI128" t="s">
        <v>601</v>
      </c>
      <c r="AJ128" t="s">
        <v>601</v>
      </c>
    </row>
    <row r="129" spans="1:36">
      <c r="A129" t="s">
        <v>1305</v>
      </c>
      <c r="B129">
        <v>16</v>
      </c>
      <c r="C129" t="s">
        <v>1295</v>
      </c>
      <c r="D129" t="s">
        <v>633</v>
      </c>
      <c r="E129" t="s">
        <v>634</v>
      </c>
      <c r="F129" t="s">
        <v>664</v>
      </c>
      <c r="G129" t="s">
        <v>665</v>
      </c>
      <c r="H129" t="s">
        <v>1306</v>
      </c>
      <c r="I129" t="s">
        <v>1307</v>
      </c>
      <c r="J129" t="s">
        <v>1308</v>
      </c>
      <c r="K129" t="s">
        <v>1309</v>
      </c>
      <c r="L129" t="s">
        <v>594</v>
      </c>
      <c r="M129" t="s">
        <v>593</v>
      </c>
      <c r="N129" t="s">
        <v>593</v>
      </c>
      <c r="O129" t="s">
        <v>594</v>
      </c>
      <c r="P129" t="s">
        <v>594</v>
      </c>
      <c r="Q129" t="s">
        <v>594</v>
      </c>
      <c r="R129" t="s">
        <v>594</v>
      </c>
      <c r="S129" t="s">
        <v>594</v>
      </c>
      <c r="T129">
        <v>128</v>
      </c>
      <c r="U129" t="s">
        <v>597</v>
      </c>
      <c r="V129" t="s">
        <v>598</v>
      </c>
      <c r="W129" t="s">
        <v>598</v>
      </c>
      <c r="X129" t="s">
        <v>625</v>
      </c>
      <c r="Y129" t="s">
        <v>600</v>
      </c>
      <c r="AB129" t="s">
        <v>600</v>
      </c>
      <c r="AC129" t="s">
        <v>600</v>
      </c>
      <c r="AI129" t="s">
        <v>601</v>
      </c>
      <c r="AJ129" t="s">
        <v>601</v>
      </c>
    </row>
    <row r="130" spans="1:36">
      <c r="A130" t="s">
        <v>1310</v>
      </c>
      <c r="B130">
        <v>16</v>
      </c>
      <c r="C130" t="s">
        <v>1295</v>
      </c>
      <c r="D130" t="s">
        <v>633</v>
      </c>
      <c r="E130" t="s">
        <v>634</v>
      </c>
      <c r="F130" t="s">
        <v>664</v>
      </c>
      <c r="G130" t="s">
        <v>588</v>
      </c>
      <c r="H130" t="s">
        <v>1311</v>
      </c>
      <c r="I130" t="s">
        <v>1312</v>
      </c>
      <c r="J130" t="s">
        <v>1313</v>
      </c>
      <c r="K130" t="s">
        <v>1314</v>
      </c>
      <c r="L130" t="s">
        <v>594</v>
      </c>
      <c r="M130" t="s">
        <v>593</v>
      </c>
      <c r="N130" t="s">
        <v>593</v>
      </c>
      <c r="O130" t="s">
        <v>594</v>
      </c>
      <c r="P130" t="s">
        <v>594</v>
      </c>
      <c r="Q130" t="s">
        <v>594</v>
      </c>
      <c r="R130" t="s">
        <v>594</v>
      </c>
      <c r="S130" t="s">
        <v>594</v>
      </c>
      <c r="T130">
        <v>129</v>
      </c>
      <c r="U130" t="s">
        <v>597</v>
      </c>
      <c r="V130" t="s">
        <v>598</v>
      </c>
      <c r="W130" t="s">
        <v>598</v>
      </c>
      <c r="X130" t="s">
        <v>625</v>
      </c>
      <c r="Y130" t="s">
        <v>600</v>
      </c>
      <c r="AB130" t="s">
        <v>600</v>
      </c>
      <c r="AC130" t="s">
        <v>600</v>
      </c>
      <c r="AI130" t="s">
        <v>601</v>
      </c>
      <c r="AJ130" t="s">
        <v>601</v>
      </c>
    </row>
    <row r="131" spans="1:36">
      <c r="A131" t="s">
        <v>1315</v>
      </c>
      <c r="B131">
        <v>16</v>
      </c>
      <c r="C131" t="s">
        <v>1295</v>
      </c>
      <c r="D131" t="s">
        <v>633</v>
      </c>
      <c r="E131" t="s">
        <v>634</v>
      </c>
      <c r="F131" t="s">
        <v>664</v>
      </c>
      <c r="G131" t="s">
        <v>665</v>
      </c>
      <c r="H131" t="s">
        <v>1316</v>
      </c>
      <c r="I131" t="s">
        <v>1317</v>
      </c>
      <c r="J131" t="s">
        <v>1318</v>
      </c>
      <c r="K131" t="s">
        <v>1319</v>
      </c>
      <c r="L131" t="s">
        <v>594</v>
      </c>
      <c r="M131" t="s">
        <v>593</v>
      </c>
      <c r="N131" t="s">
        <v>593</v>
      </c>
      <c r="O131" t="s">
        <v>594</v>
      </c>
      <c r="P131" t="s">
        <v>594</v>
      </c>
      <c r="Q131" t="s">
        <v>594</v>
      </c>
      <c r="R131" t="s">
        <v>594</v>
      </c>
      <c r="S131" t="s">
        <v>594</v>
      </c>
      <c r="T131">
        <v>130</v>
      </c>
      <c r="U131" t="s">
        <v>597</v>
      </c>
      <c r="V131" t="s">
        <v>598</v>
      </c>
      <c r="W131" t="s">
        <v>598</v>
      </c>
      <c r="X131" t="s">
        <v>625</v>
      </c>
      <c r="Y131" t="s">
        <v>600</v>
      </c>
      <c r="AB131" t="s">
        <v>600</v>
      </c>
      <c r="AC131" t="s">
        <v>600</v>
      </c>
      <c r="AI131" t="s">
        <v>601</v>
      </c>
      <c r="AJ131" t="s">
        <v>601</v>
      </c>
    </row>
    <row r="132" spans="1:36">
      <c r="A132" t="s">
        <v>1320</v>
      </c>
      <c r="B132">
        <v>16</v>
      </c>
      <c r="C132" t="s">
        <v>1295</v>
      </c>
      <c r="D132" t="s">
        <v>633</v>
      </c>
      <c r="E132" t="s">
        <v>773</v>
      </c>
      <c r="F132" t="s">
        <v>664</v>
      </c>
      <c r="G132" t="s">
        <v>690</v>
      </c>
      <c r="H132" t="s">
        <v>1321</v>
      </c>
      <c r="I132" t="s">
        <v>1322</v>
      </c>
      <c r="J132" t="s">
        <v>1323</v>
      </c>
      <c r="K132" t="s">
        <v>1324</v>
      </c>
      <c r="L132" t="s">
        <v>594</v>
      </c>
      <c r="M132" t="s">
        <v>593</v>
      </c>
      <c r="N132" t="s">
        <v>593</v>
      </c>
      <c r="O132" t="s">
        <v>594</v>
      </c>
      <c r="P132" t="s">
        <v>594</v>
      </c>
      <c r="Q132" t="s">
        <v>594</v>
      </c>
      <c r="R132" t="s">
        <v>594</v>
      </c>
      <c r="S132" t="s">
        <v>594</v>
      </c>
      <c r="T132">
        <v>131</v>
      </c>
      <c r="U132" t="s">
        <v>597</v>
      </c>
      <c r="V132" t="s">
        <v>598</v>
      </c>
      <c r="W132" t="s">
        <v>598</v>
      </c>
      <c r="X132" t="s">
        <v>625</v>
      </c>
      <c r="Y132" t="s">
        <v>600</v>
      </c>
      <c r="AB132" t="s">
        <v>600</v>
      </c>
      <c r="AC132" t="s">
        <v>600</v>
      </c>
      <c r="AI132" t="s">
        <v>601</v>
      </c>
      <c r="AJ132" t="s">
        <v>601</v>
      </c>
    </row>
    <row r="133" spans="1:36">
      <c r="A133" t="s">
        <v>1325</v>
      </c>
      <c r="B133">
        <v>16</v>
      </c>
      <c r="C133" t="s">
        <v>1295</v>
      </c>
      <c r="D133" t="s">
        <v>633</v>
      </c>
      <c r="E133" t="s">
        <v>634</v>
      </c>
      <c r="F133" t="s">
        <v>664</v>
      </c>
      <c r="G133" t="s">
        <v>665</v>
      </c>
      <c r="H133" t="s">
        <v>1326</v>
      </c>
      <c r="I133" t="s">
        <v>1327</v>
      </c>
      <c r="J133" t="s">
        <v>1328</v>
      </c>
      <c r="K133" t="s">
        <v>1329</v>
      </c>
      <c r="L133" t="s">
        <v>594</v>
      </c>
      <c r="M133" t="s">
        <v>593</v>
      </c>
      <c r="N133" t="s">
        <v>593</v>
      </c>
      <c r="O133" t="s">
        <v>594</v>
      </c>
      <c r="P133" t="s">
        <v>594</v>
      </c>
      <c r="Q133" t="s">
        <v>594</v>
      </c>
      <c r="R133" t="s">
        <v>594</v>
      </c>
      <c r="S133" t="s">
        <v>594</v>
      </c>
      <c r="T133">
        <v>132</v>
      </c>
      <c r="U133" t="s">
        <v>597</v>
      </c>
      <c r="V133" t="s">
        <v>598</v>
      </c>
      <c r="W133" t="s">
        <v>598</v>
      </c>
      <c r="X133" t="s">
        <v>625</v>
      </c>
      <c r="Y133" t="s">
        <v>600</v>
      </c>
      <c r="AB133" t="s">
        <v>600</v>
      </c>
      <c r="AC133" t="s">
        <v>600</v>
      </c>
      <c r="AI133" t="s">
        <v>601</v>
      </c>
      <c r="AJ133" t="s">
        <v>601</v>
      </c>
    </row>
    <row r="134" spans="1:36">
      <c r="A134" t="s">
        <v>1330</v>
      </c>
      <c r="B134">
        <v>16</v>
      </c>
      <c r="C134" t="s">
        <v>1295</v>
      </c>
      <c r="D134" t="s">
        <v>633</v>
      </c>
      <c r="E134" t="s">
        <v>1025</v>
      </c>
      <c r="F134" t="s">
        <v>664</v>
      </c>
      <c r="G134" t="s">
        <v>665</v>
      </c>
      <c r="H134" t="s">
        <v>1331</v>
      </c>
      <c r="I134" t="s">
        <v>1332</v>
      </c>
      <c r="J134" t="s">
        <v>1333</v>
      </c>
      <c r="K134" t="s">
        <v>1334</v>
      </c>
      <c r="L134" t="s">
        <v>594</v>
      </c>
      <c r="M134" t="s">
        <v>593</v>
      </c>
      <c r="N134" t="s">
        <v>593</v>
      </c>
      <c r="O134" t="s">
        <v>594</v>
      </c>
      <c r="P134" t="s">
        <v>594</v>
      </c>
      <c r="Q134" t="s">
        <v>594</v>
      </c>
      <c r="R134" t="s">
        <v>594</v>
      </c>
      <c r="S134" t="s">
        <v>594</v>
      </c>
      <c r="T134">
        <v>133</v>
      </c>
      <c r="U134" t="s">
        <v>597</v>
      </c>
      <c r="V134" t="s">
        <v>598</v>
      </c>
      <c r="W134" t="s">
        <v>598</v>
      </c>
      <c r="X134" t="s">
        <v>625</v>
      </c>
      <c r="Y134" t="s">
        <v>600</v>
      </c>
      <c r="AB134" t="s">
        <v>600</v>
      </c>
      <c r="AC134" t="s">
        <v>600</v>
      </c>
      <c r="AI134" t="s">
        <v>601</v>
      </c>
      <c r="AJ134" t="s">
        <v>601</v>
      </c>
    </row>
    <row r="135" spans="1:36">
      <c r="A135" t="s">
        <v>1335</v>
      </c>
      <c r="B135">
        <v>16</v>
      </c>
      <c r="C135" t="s">
        <v>1295</v>
      </c>
      <c r="D135" t="s">
        <v>633</v>
      </c>
      <c r="E135" t="s">
        <v>356</v>
      </c>
      <c r="F135" t="s">
        <v>664</v>
      </c>
      <c r="G135" t="s">
        <v>665</v>
      </c>
      <c r="H135" t="s">
        <v>1336</v>
      </c>
      <c r="I135" t="s">
        <v>1337</v>
      </c>
      <c r="J135" t="s">
        <v>1338</v>
      </c>
      <c r="K135" t="s">
        <v>1339</v>
      </c>
      <c r="L135" t="s">
        <v>594</v>
      </c>
      <c r="M135" t="s">
        <v>593</v>
      </c>
      <c r="N135" t="s">
        <v>593</v>
      </c>
      <c r="O135" t="s">
        <v>594</v>
      </c>
      <c r="P135" t="s">
        <v>594</v>
      </c>
      <c r="Q135" t="s">
        <v>594</v>
      </c>
      <c r="R135" t="s">
        <v>594</v>
      </c>
      <c r="S135" t="s">
        <v>594</v>
      </c>
      <c r="T135">
        <v>134</v>
      </c>
      <c r="U135" t="s">
        <v>597</v>
      </c>
      <c r="V135" t="s">
        <v>598</v>
      </c>
      <c r="W135" t="s">
        <v>598</v>
      </c>
      <c r="X135" t="s">
        <v>625</v>
      </c>
      <c r="Y135" t="s">
        <v>600</v>
      </c>
      <c r="AB135" t="s">
        <v>600</v>
      </c>
      <c r="AC135" t="s">
        <v>600</v>
      </c>
      <c r="AI135" t="s">
        <v>601</v>
      </c>
      <c r="AJ135" t="s">
        <v>601</v>
      </c>
    </row>
    <row r="136" spans="1:36">
      <c r="A136" t="s">
        <v>1340</v>
      </c>
      <c r="B136">
        <v>16</v>
      </c>
      <c r="C136" t="s">
        <v>1295</v>
      </c>
      <c r="D136" t="s">
        <v>633</v>
      </c>
      <c r="E136" t="s">
        <v>634</v>
      </c>
      <c r="F136" t="s">
        <v>664</v>
      </c>
      <c r="G136" t="s">
        <v>665</v>
      </c>
      <c r="H136" t="s">
        <v>1341</v>
      </c>
      <c r="I136" t="s">
        <v>1342</v>
      </c>
      <c r="J136" t="s">
        <v>1343</v>
      </c>
      <c r="K136" t="s">
        <v>1344</v>
      </c>
      <c r="L136" t="s">
        <v>594</v>
      </c>
      <c r="M136" t="s">
        <v>593</v>
      </c>
      <c r="N136" t="s">
        <v>593</v>
      </c>
      <c r="O136" t="s">
        <v>594</v>
      </c>
      <c r="P136" t="s">
        <v>594</v>
      </c>
      <c r="Q136" t="s">
        <v>594</v>
      </c>
      <c r="R136" t="s">
        <v>594</v>
      </c>
      <c r="S136" t="s">
        <v>594</v>
      </c>
      <c r="T136">
        <v>135</v>
      </c>
      <c r="U136" t="s">
        <v>597</v>
      </c>
      <c r="V136" t="s">
        <v>598</v>
      </c>
      <c r="W136" t="s">
        <v>598</v>
      </c>
      <c r="X136" t="s">
        <v>625</v>
      </c>
      <c r="Y136" t="s">
        <v>600</v>
      </c>
      <c r="AB136" t="s">
        <v>600</v>
      </c>
      <c r="AC136" t="s">
        <v>600</v>
      </c>
      <c r="AI136" t="s">
        <v>601</v>
      </c>
      <c r="AJ136" t="s">
        <v>601</v>
      </c>
    </row>
    <row r="137" spans="1:36">
      <c r="A137" t="s">
        <v>1345</v>
      </c>
      <c r="B137">
        <v>16</v>
      </c>
      <c r="C137" t="s">
        <v>1295</v>
      </c>
      <c r="D137" t="s">
        <v>633</v>
      </c>
      <c r="E137" t="s">
        <v>634</v>
      </c>
      <c r="F137" t="s">
        <v>664</v>
      </c>
      <c r="G137" t="s">
        <v>588</v>
      </c>
      <c r="H137" t="s">
        <v>1346</v>
      </c>
      <c r="I137" t="s">
        <v>1347</v>
      </c>
      <c r="J137" t="s">
        <v>1348</v>
      </c>
      <c r="K137" t="s">
        <v>1349</v>
      </c>
      <c r="L137" t="s">
        <v>594</v>
      </c>
      <c r="M137" t="s">
        <v>593</v>
      </c>
      <c r="N137" t="s">
        <v>593</v>
      </c>
      <c r="O137" t="s">
        <v>594</v>
      </c>
      <c r="P137" t="s">
        <v>594</v>
      </c>
      <c r="Q137" t="s">
        <v>594</v>
      </c>
      <c r="R137" t="s">
        <v>594</v>
      </c>
      <c r="S137" t="s">
        <v>594</v>
      </c>
      <c r="T137">
        <v>136</v>
      </c>
      <c r="U137" t="s">
        <v>597</v>
      </c>
      <c r="V137" t="s">
        <v>598</v>
      </c>
      <c r="W137" t="s">
        <v>598</v>
      </c>
      <c r="X137" t="s">
        <v>625</v>
      </c>
      <c r="Y137" t="s">
        <v>600</v>
      </c>
      <c r="AB137" t="s">
        <v>600</v>
      </c>
      <c r="AC137" t="s">
        <v>600</v>
      </c>
      <c r="AI137" t="s">
        <v>601</v>
      </c>
      <c r="AJ137" t="s">
        <v>601</v>
      </c>
    </row>
    <row r="138" spans="1:36">
      <c r="A138" t="s">
        <v>1350</v>
      </c>
      <c r="B138">
        <v>16</v>
      </c>
      <c r="C138" t="s">
        <v>1295</v>
      </c>
      <c r="D138" t="s">
        <v>633</v>
      </c>
      <c r="E138" t="s">
        <v>634</v>
      </c>
      <c r="F138" t="s">
        <v>664</v>
      </c>
      <c r="G138" t="s">
        <v>665</v>
      </c>
      <c r="H138" t="s">
        <v>1351</v>
      </c>
      <c r="I138" t="s">
        <v>1352</v>
      </c>
      <c r="J138" t="s">
        <v>1353</v>
      </c>
      <c r="K138" t="s">
        <v>1354</v>
      </c>
      <c r="L138" t="s">
        <v>594</v>
      </c>
      <c r="M138" t="s">
        <v>594</v>
      </c>
      <c r="N138" t="s">
        <v>593</v>
      </c>
      <c r="O138" t="s">
        <v>594</v>
      </c>
      <c r="P138" t="s">
        <v>594</v>
      </c>
      <c r="Q138" t="s">
        <v>594</v>
      </c>
      <c r="R138" t="s">
        <v>594</v>
      </c>
      <c r="S138" t="s">
        <v>594</v>
      </c>
      <c r="T138">
        <v>137</v>
      </c>
      <c r="U138" t="s">
        <v>597</v>
      </c>
      <c r="V138" t="s">
        <v>598</v>
      </c>
      <c r="W138" t="s">
        <v>598</v>
      </c>
      <c r="X138" t="s">
        <v>625</v>
      </c>
      <c r="Y138" t="s">
        <v>600</v>
      </c>
      <c r="AB138" t="s">
        <v>600</v>
      </c>
      <c r="AC138" t="s">
        <v>600</v>
      </c>
      <c r="AI138" t="s">
        <v>601</v>
      </c>
      <c r="AJ138" t="s">
        <v>601</v>
      </c>
    </row>
    <row r="139" spans="1:36">
      <c r="A139" t="s">
        <v>1355</v>
      </c>
      <c r="B139">
        <v>16</v>
      </c>
      <c r="C139" t="s">
        <v>1295</v>
      </c>
      <c r="D139" t="s">
        <v>633</v>
      </c>
      <c r="E139" t="s">
        <v>634</v>
      </c>
      <c r="F139" t="s">
        <v>664</v>
      </c>
      <c r="G139" t="s">
        <v>690</v>
      </c>
      <c r="H139" t="s">
        <v>1356</v>
      </c>
      <c r="I139" t="s">
        <v>1357</v>
      </c>
      <c r="J139" t="s">
        <v>1358</v>
      </c>
      <c r="K139" t="s">
        <v>1359</v>
      </c>
      <c r="L139" t="s">
        <v>594</v>
      </c>
      <c r="M139" t="s">
        <v>594</v>
      </c>
      <c r="N139" t="s">
        <v>593</v>
      </c>
      <c r="O139" t="s">
        <v>594</v>
      </c>
      <c r="P139" t="s">
        <v>594</v>
      </c>
      <c r="Q139" t="s">
        <v>594</v>
      </c>
      <c r="R139" t="s">
        <v>594</v>
      </c>
      <c r="S139" t="s">
        <v>594</v>
      </c>
      <c r="T139">
        <v>138</v>
      </c>
      <c r="U139" t="s">
        <v>597</v>
      </c>
      <c r="V139" t="s">
        <v>598</v>
      </c>
      <c r="W139" t="s">
        <v>598</v>
      </c>
      <c r="X139" t="s">
        <v>625</v>
      </c>
      <c r="Y139" t="s">
        <v>600</v>
      </c>
      <c r="AB139" t="s">
        <v>600</v>
      </c>
      <c r="AC139" t="s">
        <v>600</v>
      </c>
      <c r="AI139" t="s">
        <v>601</v>
      </c>
      <c r="AJ139" t="s">
        <v>601</v>
      </c>
    </row>
    <row r="140" spans="1:36">
      <c r="A140" t="s">
        <v>1360</v>
      </c>
      <c r="B140">
        <v>16</v>
      </c>
      <c r="C140" t="s">
        <v>1295</v>
      </c>
      <c r="D140" t="s">
        <v>633</v>
      </c>
      <c r="E140" t="s">
        <v>634</v>
      </c>
      <c r="F140" t="s">
        <v>664</v>
      </c>
      <c r="G140" t="s">
        <v>665</v>
      </c>
      <c r="H140" t="s">
        <v>1361</v>
      </c>
      <c r="I140" t="s">
        <v>1362</v>
      </c>
      <c r="J140" t="s">
        <v>1363</v>
      </c>
      <c r="K140" t="s">
        <v>1364</v>
      </c>
      <c r="L140" t="s">
        <v>594</v>
      </c>
      <c r="M140" t="s">
        <v>594</v>
      </c>
      <c r="N140" t="s">
        <v>593</v>
      </c>
      <c r="O140" t="s">
        <v>594</v>
      </c>
      <c r="P140" t="s">
        <v>594</v>
      </c>
      <c r="Q140" t="s">
        <v>594</v>
      </c>
      <c r="R140" t="s">
        <v>594</v>
      </c>
      <c r="S140" t="s">
        <v>594</v>
      </c>
      <c r="T140">
        <v>139</v>
      </c>
      <c r="U140" t="s">
        <v>597</v>
      </c>
      <c r="V140" t="s">
        <v>598</v>
      </c>
      <c r="W140" t="s">
        <v>598</v>
      </c>
      <c r="X140" t="s">
        <v>625</v>
      </c>
      <c r="Y140" t="s">
        <v>600</v>
      </c>
      <c r="AB140" t="s">
        <v>600</v>
      </c>
      <c r="AC140" t="s">
        <v>600</v>
      </c>
      <c r="AI140" t="s">
        <v>601</v>
      </c>
      <c r="AJ140" t="s">
        <v>601</v>
      </c>
    </row>
    <row r="141" spans="1:36">
      <c r="A141" t="s">
        <v>1365</v>
      </c>
      <c r="B141">
        <v>17</v>
      </c>
      <c r="C141" t="s">
        <v>1366</v>
      </c>
      <c r="D141" t="s">
        <v>107</v>
      </c>
      <c r="E141" t="s">
        <v>356</v>
      </c>
      <c r="F141" t="s">
        <v>603</v>
      </c>
      <c r="G141" t="s">
        <v>604</v>
      </c>
      <c r="H141" t="s">
        <v>1367</v>
      </c>
      <c r="I141" t="s">
        <v>1368</v>
      </c>
      <c r="J141" t="s">
        <v>1369</v>
      </c>
      <c r="K141" t="s">
        <v>1370</v>
      </c>
      <c r="L141" t="s">
        <v>593</v>
      </c>
      <c r="M141" t="s">
        <v>593</v>
      </c>
      <c r="N141" t="s">
        <v>593</v>
      </c>
      <c r="O141" t="s">
        <v>594</v>
      </c>
      <c r="P141" t="s">
        <v>594</v>
      </c>
      <c r="Q141" t="s">
        <v>594</v>
      </c>
      <c r="R141" t="s">
        <v>594</v>
      </c>
      <c r="S141" t="s">
        <v>594</v>
      </c>
      <c r="T141">
        <v>140</v>
      </c>
      <c r="U141" t="s">
        <v>597</v>
      </c>
      <c r="V141" t="s">
        <v>598</v>
      </c>
      <c r="W141" t="s">
        <v>598</v>
      </c>
      <c r="X141" t="s">
        <v>625</v>
      </c>
      <c r="Y141" t="s">
        <v>600</v>
      </c>
      <c r="AB141" t="s">
        <v>600</v>
      </c>
      <c r="AC141" t="s">
        <v>600</v>
      </c>
      <c r="AI141" t="s">
        <v>601</v>
      </c>
      <c r="AJ141" t="s">
        <v>601</v>
      </c>
    </row>
    <row r="142" spans="1:36">
      <c r="A142" t="s">
        <v>1371</v>
      </c>
      <c r="B142">
        <v>17</v>
      </c>
      <c r="C142" t="s">
        <v>1366</v>
      </c>
      <c r="D142" t="s">
        <v>107</v>
      </c>
      <c r="E142" t="s">
        <v>773</v>
      </c>
      <c r="F142" t="s">
        <v>603</v>
      </c>
      <c r="G142" t="s">
        <v>690</v>
      </c>
      <c r="H142" t="s">
        <v>1372</v>
      </c>
      <c r="I142" t="s">
        <v>1373</v>
      </c>
      <c r="J142" t="s">
        <v>1374</v>
      </c>
      <c r="K142" t="s">
        <v>1375</v>
      </c>
      <c r="L142" t="s">
        <v>593</v>
      </c>
      <c r="M142" t="s">
        <v>593</v>
      </c>
      <c r="N142" t="s">
        <v>593</v>
      </c>
      <c r="O142" t="s">
        <v>594</v>
      </c>
      <c r="P142" t="s">
        <v>594</v>
      </c>
      <c r="Q142" t="s">
        <v>594</v>
      </c>
      <c r="R142" t="s">
        <v>594</v>
      </c>
      <c r="S142" t="s">
        <v>594</v>
      </c>
      <c r="T142">
        <v>141</v>
      </c>
      <c r="U142" t="s">
        <v>597</v>
      </c>
      <c r="V142" t="s">
        <v>598</v>
      </c>
      <c r="W142" t="s">
        <v>598</v>
      </c>
      <c r="X142" t="s">
        <v>625</v>
      </c>
      <c r="Y142" t="s">
        <v>600</v>
      </c>
      <c r="AB142" t="s">
        <v>600</v>
      </c>
      <c r="AC142" t="s">
        <v>600</v>
      </c>
      <c r="AI142" t="s">
        <v>601</v>
      </c>
      <c r="AJ142" t="s">
        <v>601</v>
      </c>
    </row>
    <row r="143" spans="1:36">
      <c r="A143" t="s">
        <v>1376</v>
      </c>
      <c r="B143">
        <v>17</v>
      </c>
      <c r="C143" t="s">
        <v>1366</v>
      </c>
      <c r="D143" t="s">
        <v>107</v>
      </c>
      <c r="E143" t="s">
        <v>773</v>
      </c>
      <c r="F143" t="s">
        <v>603</v>
      </c>
      <c r="G143" t="s">
        <v>690</v>
      </c>
      <c r="H143" t="s">
        <v>1377</v>
      </c>
      <c r="I143" t="s">
        <v>1378</v>
      </c>
      <c r="J143" t="s">
        <v>1379</v>
      </c>
      <c r="K143" t="s">
        <v>1380</v>
      </c>
      <c r="L143" t="s">
        <v>593</v>
      </c>
      <c r="M143" t="s">
        <v>593</v>
      </c>
      <c r="N143" t="s">
        <v>593</v>
      </c>
      <c r="O143" t="s">
        <v>594</v>
      </c>
      <c r="P143" t="s">
        <v>594</v>
      </c>
      <c r="Q143" t="s">
        <v>594</v>
      </c>
      <c r="R143" t="s">
        <v>594</v>
      </c>
      <c r="S143" t="s">
        <v>594</v>
      </c>
      <c r="T143">
        <v>142</v>
      </c>
      <c r="U143" t="s">
        <v>597</v>
      </c>
      <c r="V143" t="s">
        <v>598</v>
      </c>
      <c r="W143" t="s">
        <v>598</v>
      </c>
      <c r="X143" t="s">
        <v>625</v>
      </c>
      <c r="Y143" t="s">
        <v>600</v>
      </c>
      <c r="AB143" t="s">
        <v>600</v>
      </c>
      <c r="AC143" t="s">
        <v>600</v>
      </c>
      <c r="AI143" t="s">
        <v>601</v>
      </c>
      <c r="AJ143" t="s">
        <v>601</v>
      </c>
    </row>
    <row r="144" spans="1:36">
      <c r="A144" t="s">
        <v>1381</v>
      </c>
      <c r="B144">
        <v>17</v>
      </c>
      <c r="C144" t="s">
        <v>1366</v>
      </c>
      <c r="D144" t="s">
        <v>107</v>
      </c>
      <c r="E144" t="s">
        <v>773</v>
      </c>
      <c r="F144" t="s">
        <v>603</v>
      </c>
      <c r="G144" t="s">
        <v>690</v>
      </c>
      <c r="H144" t="s">
        <v>1382</v>
      </c>
      <c r="I144" t="s">
        <v>1383</v>
      </c>
      <c r="J144" t="s">
        <v>1384</v>
      </c>
      <c r="K144" t="s">
        <v>1385</v>
      </c>
      <c r="L144" t="s">
        <v>594</v>
      </c>
      <c r="M144" t="s">
        <v>593</v>
      </c>
      <c r="N144" t="s">
        <v>593</v>
      </c>
      <c r="O144" t="s">
        <v>594</v>
      </c>
      <c r="P144" t="s">
        <v>594</v>
      </c>
      <c r="Q144" t="s">
        <v>594</v>
      </c>
      <c r="R144" t="s">
        <v>594</v>
      </c>
      <c r="S144" t="s">
        <v>594</v>
      </c>
      <c r="T144">
        <v>143</v>
      </c>
      <c r="U144" t="s">
        <v>597</v>
      </c>
      <c r="V144" t="s">
        <v>598</v>
      </c>
      <c r="W144" t="s">
        <v>598</v>
      </c>
      <c r="X144" t="s">
        <v>625</v>
      </c>
      <c r="Y144" t="s">
        <v>600</v>
      </c>
      <c r="AB144" t="s">
        <v>600</v>
      </c>
      <c r="AC144" t="s">
        <v>600</v>
      </c>
      <c r="AI144" t="s">
        <v>601</v>
      </c>
      <c r="AJ144" t="s">
        <v>601</v>
      </c>
    </row>
    <row r="145" spans="1:36">
      <c r="A145" t="s">
        <v>1386</v>
      </c>
      <c r="B145">
        <v>17</v>
      </c>
      <c r="C145" t="s">
        <v>1366</v>
      </c>
      <c r="D145" t="s">
        <v>107</v>
      </c>
      <c r="E145" t="s">
        <v>356</v>
      </c>
      <c r="F145" t="s">
        <v>603</v>
      </c>
      <c r="G145" t="s">
        <v>604</v>
      </c>
      <c r="H145" t="s">
        <v>1387</v>
      </c>
      <c r="I145" t="s">
        <v>1388</v>
      </c>
      <c r="J145" t="s">
        <v>1389</v>
      </c>
      <c r="K145" t="s">
        <v>1390</v>
      </c>
      <c r="L145" t="s">
        <v>594</v>
      </c>
      <c r="M145" t="s">
        <v>593</v>
      </c>
      <c r="N145" t="s">
        <v>593</v>
      </c>
      <c r="O145" t="s">
        <v>594</v>
      </c>
      <c r="P145" t="s">
        <v>594</v>
      </c>
      <c r="Q145" t="s">
        <v>594</v>
      </c>
      <c r="R145" t="s">
        <v>594</v>
      </c>
      <c r="S145" t="s">
        <v>594</v>
      </c>
      <c r="T145">
        <v>144</v>
      </c>
      <c r="U145" t="s">
        <v>597</v>
      </c>
      <c r="V145" t="s">
        <v>598</v>
      </c>
      <c r="W145" t="s">
        <v>598</v>
      </c>
      <c r="X145" t="s">
        <v>625</v>
      </c>
      <c r="Y145" t="s">
        <v>600</v>
      </c>
      <c r="AB145" t="s">
        <v>600</v>
      </c>
      <c r="AC145" t="s">
        <v>600</v>
      </c>
      <c r="AI145" t="s">
        <v>601</v>
      </c>
      <c r="AJ145" t="s">
        <v>601</v>
      </c>
    </row>
    <row r="146" spans="1:36">
      <c r="A146" t="s">
        <v>1391</v>
      </c>
      <c r="B146">
        <v>17</v>
      </c>
      <c r="C146" t="s">
        <v>1366</v>
      </c>
      <c r="D146" t="s">
        <v>107</v>
      </c>
      <c r="E146" t="s">
        <v>356</v>
      </c>
      <c r="F146" t="s">
        <v>603</v>
      </c>
      <c r="G146" t="s">
        <v>604</v>
      </c>
      <c r="H146" t="s">
        <v>1392</v>
      </c>
      <c r="I146" t="s">
        <v>1393</v>
      </c>
      <c r="J146" t="s">
        <v>1394</v>
      </c>
      <c r="K146" t="s">
        <v>1395</v>
      </c>
      <c r="L146" t="s">
        <v>594</v>
      </c>
      <c r="M146" t="s">
        <v>593</v>
      </c>
      <c r="N146" t="s">
        <v>593</v>
      </c>
      <c r="O146" t="s">
        <v>594</v>
      </c>
      <c r="P146" t="s">
        <v>594</v>
      </c>
      <c r="Q146" t="s">
        <v>594</v>
      </c>
      <c r="R146" t="s">
        <v>594</v>
      </c>
      <c r="S146" t="s">
        <v>594</v>
      </c>
      <c r="T146">
        <v>145</v>
      </c>
      <c r="U146" t="s">
        <v>597</v>
      </c>
      <c r="V146" t="s">
        <v>598</v>
      </c>
      <c r="W146" t="s">
        <v>598</v>
      </c>
      <c r="X146" t="s">
        <v>625</v>
      </c>
      <c r="Y146" t="s">
        <v>600</v>
      </c>
      <c r="AB146" t="s">
        <v>600</v>
      </c>
      <c r="AC146" t="s">
        <v>600</v>
      </c>
      <c r="AI146" t="s">
        <v>601</v>
      </c>
      <c r="AJ146" t="s">
        <v>601</v>
      </c>
    </row>
    <row r="147" spans="1:36">
      <c r="A147" t="s">
        <v>1396</v>
      </c>
      <c r="B147">
        <v>17</v>
      </c>
      <c r="C147" t="s">
        <v>1366</v>
      </c>
      <c r="D147" t="s">
        <v>107</v>
      </c>
      <c r="E147" t="s">
        <v>356</v>
      </c>
      <c r="F147" t="s">
        <v>1088</v>
      </c>
      <c r="G147" t="s">
        <v>1094</v>
      </c>
      <c r="H147" t="s">
        <v>1397</v>
      </c>
      <c r="I147" t="s">
        <v>1398</v>
      </c>
      <c r="J147" t="s">
        <v>1399</v>
      </c>
      <c r="K147" t="s">
        <v>1400</v>
      </c>
      <c r="L147" t="s">
        <v>594</v>
      </c>
      <c r="M147" t="s">
        <v>593</v>
      </c>
      <c r="N147" t="s">
        <v>593</v>
      </c>
      <c r="O147" t="s">
        <v>594</v>
      </c>
      <c r="P147" t="s">
        <v>594</v>
      </c>
      <c r="Q147" t="s">
        <v>594</v>
      </c>
      <c r="R147" t="s">
        <v>594</v>
      </c>
      <c r="S147" t="s">
        <v>594</v>
      </c>
      <c r="T147">
        <v>146</v>
      </c>
      <c r="U147" t="s">
        <v>597</v>
      </c>
      <c r="V147" t="s">
        <v>598</v>
      </c>
      <c r="W147" t="s">
        <v>598</v>
      </c>
      <c r="X147" t="s">
        <v>625</v>
      </c>
      <c r="Y147" t="s">
        <v>600</v>
      </c>
      <c r="AB147" t="s">
        <v>600</v>
      </c>
      <c r="AC147" t="s">
        <v>600</v>
      </c>
      <c r="AI147" t="s">
        <v>601</v>
      </c>
      <c r="AJ147" t="s">
        <v>601</v>
      </c>
    </row>
    <row r="148" spans="1:36">
      <c r="A148" t="s">
        <v>1401</v>
      </c>
      <c r="B148">
        <v>17</v>
      </c>
      <c r="C148" t="s">
        <v>1366</v>
      </c>
      <c r="D148" t="s">
        <v>107</v>
      </c>
      <c r="E148" t="s">
        <v>356</v>
      </c>
      <c r="F148" t="s">
        <v>1088</v>
      </c>
      <c r="G148" t="s">
        <v>1094</v>
      </c>
      <c r="H148" t="s">
        <v>1402</v>
      </c>
      <c r="I148" t="s">
        <v>1403</v>
      </c>
      <c r="J148" t="s">
        <v>1404</v>
      </c>
      <c r="K148" t="s">
        <v>1405</v>
      </c>
      <c r="L148" t="s">
        <v>594</v>
      </c>
      <c r="M148" t="s">
        <v>593</v>
      </c>
      <c r="N148" t="s">
        <v>593</v>
      </c>
      <c r="O148" t="s">
        <v>594</v>
      </c>
      <c r="P148" t="s">
        <v>594</v>
      </c>
      <c r="Q148" t="s">
        <v>594</v>
      </c>
      <c r="R148" t="s">
        <v>594</v>
      </c>
      <c r="S148" t="s">
        <v>594</v>
      </c>
      <c r="T148">
        <v>147</v>
      </c>
      <c r="U148" t="s">
        <v>597</v>
      </c>
      <c r="V148" t="s">
        <v>598</v>
      </c>
      <c r="W148" t="s">
        <v>598</v>
      </c>
      <c r="X148" t="s">
        <v>625</v>
      </c>
      <c r="Y148" t="s">
        <v>600</v>
      </c>
      <c r="AB148" t="s">
        <v>600</v>
      </c>
      <c r="AC148" t="s">
        <v>600</v>
      </c>
      <c r="AI148" t="s">
        <v>601</v>
      </c>
      <c r="AJ148" t="s">
        <v>601</v>
      </c>
    </row>
    <row r="149" spans="1:36">
      <c r="A149" t="s">
        <v>1406</v>
      </c>
      <c r="B149">
        <v>17</v>
      </c>
      <c r="C149" t="s">
        <v>1366</v>
      </c>
      <c r="D149" t="s">
        <v>107</v>
      </c>
      <c r="E149" t="s">
        <v>773</v>
      </c>
      <c r="F149" t="s">
        <v>1088</v>
      </c>
      <c r="G149" t="s">
        <v>1094</v>
      </c>
      <c r="H149" t="s">
        <v>1407</v>
      </c>
      <c r="I149" t="s">
        <v>1408</v>
      </c>
      <c r="J149" t="s">
        <v>1409</v>
      </c>
      <c r="K149" t="s">
        <v>1410</v>
      </c>
      <c r="L149" t="s">
        <v>594</v>
      </c>
      <c r="M149" t="s">
        <v>594</v>
      </c>
      <c r="N149" t="s">
        <v>593</v>
      </c>
      <c r="O149" t="s">
        <v>594</v>
      </c>
      <c r="P149" t="s">
        <v>594</v>
      </c>
      <c r="Q149" t="s">
        <v>594</v>
      </c>
      <c r="R149" t="s">
        <v>594</v>
      </c>
      <c r="S149" t="s">
        <v>594</v>
      </c>
      <c r="T149">
        <v>148</v>
      </c>
      <c r="U149" t="s">
        <v>597</v>
      </c>
      <c r="V149" t="s">
        <v>598</v>
      </c>
      <c r="W149" t="s">
        <v>598</v>
      </c>
      <c r="X149" t="s">
        <v>625</v>
      </c>
      <c r="Y149" t="s">
        <v>600</v>
      </c>
      <c r="AB149" t="s">
        <v>600</v>
      </c>
      <c r="AC149" t="s">
        <v>600</v>
      </c>
      <c r="AI149" t="s">
        <v>601</v>
      </c>
      <c r="AJ149" t="s">
        <v>601</v>
      </c>
    </row>
    <row r="150" spans="1:36">
      <c r="A150" t="s">
        <v>1411</v>
      </c>
      <c r="B150">
        <v>18</v>
      </c>
      <c r="C150" t="s">
        <v>1412</v>
      </c>
      <c r="D150" t="s">
        <v>107</v>
      </c>
      <c r="E150" t="s">
        <v>773</v>
      </c>
      <c r="F150" t="s">
        <v>587</v>
      </c>
      <c r="G150" t="s">
        <v>690</v>
      </c>
      <c r="H150" t="s">
        <v>1413</v>
      </c>
      <c r="I150" t="s">
        <v>1414</v>
      </c>
      <c r="J150" t="s">
        <v>1415</v>
      </c>
      <c r="K150" t="s">
        <v>1416</v>
      </c>
      <c r="L150" t="s">
        <v>594</v>
      </c>
      <c r="M150" t="s">
        <v>593</v>
      </c>
      <c r="N150" t="s">
        <v>593</v>
      </c>
      <c r="O150" t="s">
        <v>594</v>
      </c>
      <c r="P150" t="s">
        <v>594</v>
      </c>
      <c r="Q150" t="s">
        <v>594</v>
      </c>
      <c r="R150" t="s">
        <v>594</v>
      </c>
      <c r="S150" t="s">
        <v>594</v>
      </c>
      <c r="T150">
        <v>149</v>
      </c>
      <c r="U150" t="s">
        <v>597</v>
      </c>
      <c r="V150" t="s">
        <v>598</v>
      </c>
      <c r="W150" t="s">
        <v>598</v>
      </c>
      <c r="X150" t="s">
        <v>625</v>
      </c>
      <c r="Y150" t="s">
        <v>600</v>
      </c>
      <c r="AB150" t="s">
        <v>600</v>
      </c>
      <c r="AC150" t="s">
        <v>600</v>
      </c>
      <c r="AI150" t="s">
        <v>601</v>
      </c>
      <c r="AJ150" t="s">
        <v>601</v>
      </c>
    </row>
    <row r="151" spans="1:36">
      <c r="A151" t="s">
        <v>1417</v>
      </c>
      <c r="B151">
        <v>18</v>
      </c>
      <c r="C151" t="s">
        <v>1412</v>
      </c>
      <c r="D151" t="s">
        <v>752</v>
      </c>
      <c r="E151" t="s">
        <v>1025</v>
      </c>
      <c r="F151" t="s">
        <v>587</v>
      </c>
      <c r="G151" t="s">
        <v>614</v>
      </c>
      <c r="H151" t="s">
        <v>1418</v>
      </c>
      <c r="I151" t="s">
        <v>1419</v>
      </c>
      <c r="J151" t="s">
        <v>1420</v>
      </c>
      <c r="K151" t="s">
        <v>1421</v>
      </c>
      <c r="L151" t="s">
        <v>594</v>
      </c>
      <c r="M151" t="s">
        <v>593</v>
      </c>
      <c r="N151" t="s">
        <v>593</v>
      </c>
      <c r="O151" t="s">
        <v>594</v>
      </c>
      <c r="P151" t="s">
        <v>594</v>
      </c>
      <c r="Q151" t="s">
        <v>594</v>
      </c>
      <c r="R151" t="s">
        <v>594</v>
      </c>
      <c r="S151" t="s">
        <v>594</v>
      </c>
      <c r="T151">
        <v>150</v>
      </c>
      <c r="U151" t="s">
        <v>597</v>
      </c>
      <c r="V151" t="s">
        <v>598</v>
      </c>
      <c r="W151" t="s">
        <v>598</v>
      </c>
      <c r="X151" t="s">
        <v>625</v>
      </c>
      <c r="Y151" t="s">
        <v>600</v>
      </c>
      <c r="AB151" t="s">
        <v>600</v>
      </c>
      <c r="AC151" t="s">
        <v>600</v>
      </c>
      <c r="AI151" t="s">
        <v>601</v>
      </c>
      <c r="AJ151" t="s">
        <v>601</v>
      </c>
    </row>
    <row r="152" spans="1:36">
      <c r="A152" t="s">
        <v>1422</v>
      </c>
      <c r="B152">
        <v>18</v>
      </c>
      <c r="C152" t="s">
        <v>1412</v>
      </c>
      <c r="D152" t="s">
        <v>752</v>
      </c>
      <c r="E152" t="s">
        <v>1025</v>
      </c>
      <c r="F152" t="s">
        <v>664</v>
      </c>
      <c r="G152" t="s">
        <v>665</v>
      </c>
      <c r="H152" t="s">
        <v>1423</v>
      </c>
      <c r="I152" t="s">
        <v>1424</v>
      </c>
      <c r="J152" t="s">
        <v>1425</v>
      </c>
      <c r="K152" t="s">
        <v>1426</v>
      </c>
      <c r="L152" t="s">
        <v>594</v>
      </c>
      <c r="M152" t="s">
        <v>593</v>
      </c>
      <c r="N152" t="s">
        <v>593</v>
      </c>
      <c r="O152" t="s">
        <v>594</v>
      </c>
      <c r="P152" t="s">
        <v>594</v>
      </c>
      <c r="Q152" t="s">
        <v>594</v>
      </c>
      <c r="R152" t="s">
        <v>594</v>
      </c>
      <c r="S152" t="s">
        <v>594</v>
      </c>
      <c r="T152">
        <v>151</v>
      </c>
      <c r="U152" t="s">
        <v>597</v>
      </c>
      <c r="V152" t="s">
        <v>598</v>
      </c>
      <c r="W152" t="s">
        <v>598</v>
      </c>
      <c r="X152" t="s">
        <v>625</v>
      </c>
      <c r="Y152" t="s">
        <v>600</v>
      </c>
      <c r="AB152" t="s">
        <v>600</v>
      </c>
      <c r="AC152" t="s">
        <v>600</v>
      </c>
      <c r="AI152" t="s">
        <v>601</v>
      </c>
      <c r="AJ152" t="s">
        <v>601</v>
      </c>
    </row>
    <row r="153" spans="1:36">
      <c r="A153" t="s">
        <v>1427</v>
      </c>
      <c r="B153">
        <v>18</v>
      </c>
      <c r="C153" t="s">
        <v>1412</v>
      </c>
      <c r="D153" t="s">
        <v>752</v>
      </c>
      <c r="E153" t="s">
        <v>1025</v>
      </c>
      <c r="F153" t="s">
        <v>664</v>
      </c>
      <c r="G153" t="s">
        <v>665</v>
      </c>
      <c r="H153" t="s">
        <v>1428</v>
      </c>
      <c r="I153" t="s">
        <v>1429</v>
      </c>
      <c r="J153" t="s">
        <v>1430</v>
      </c>
      <c r="K153" t="s">
        <v>1431</v>
      </c>
      <c r="L153" t="s">
        <v>594</v>
      </c>
      <c r="M153" t="s">
        <v>594</v>
      </c>
      <c r="N153" t="s">
        <v>593</v>
      </c>
      <c r="O153" t="s">
        <v>594</v>
      </c>
      <c r="P153" t="s">
        <v>594</v>
      </c>
      <c r="Q153" t="s">
        <v>594</v>
      </c>
      <c r="R153" t="s">
        <v>594</v>
      </c>
      <c r="S153" t="s">
        <v>594</v>
      </c>
      <c r="T153">
        <v>152</v>
      </c>
      <c r="U153" t="s">
        <v>597</v>
      </c>
      <c r="V153" t="s">
        <v>598</v>
      </c>
      <c r="W153" t="s">
        <v>598</v>
      </c>
      <c r="X153" t="s">
        <v>625</v>
      </c>
      <c r="Y153" t="s">
        <v>600</v>
      </c>
      <c r="AB153" t="s">
        <v>600</v>
      </c>
      <c r="AC153" t="s">
        <v>600</v>
      </c>
      <c r="AI153" t="s">
        <v>601</v>
      </c>
      <c r="AJ153" t="s">
        <v>601</v>
      </c>
    </row>
    <row r="154" spans="1:36">
      <c r="A154" t="s">
        <v>1432</v>
      </c>
      <c r="B154">
        <v>18</v>
      </c>
      <c r="C154" t="s">
        <v>1412</v>
      </c>
      <c r="D154" t="s">
        <v>107</v>
      </c>
      <c r="E154" t="s">
        <v>1025</v>
      </c>
      <c r="F154" t="s">
        <v>587</v>
      </c>
      <c r="G154" t="s">
        <v>614</v>
      </c>
      <c r="H154" t="s">
        <v>1433</v>
      </c>
      <c r="I154" t="s">
        <v>1434</v>
      </c>
      <c r="J154" t="s">
        <v>1435</v>
      </c>
      <c r="K154" t="s">
        <v>1436</v>
      </c>
      <c r="L154" t="s">
        <v>594</v>
      </c>
      <c r="M154" t="s">
        <v>594</v>
      </c>
      <c r="N154" t="s">
        <v>593</v>
      </c>
      <c r="O154" t="s">
        <v>594</v>
      </c>
      <c r="P154" t="s">
        <v>594</v>
      </c>
      <c r="Q154" t="s">
        <v>594</v>
      </c>
      <c r="R154" t="s">
        <v>594</v>
      </c>
      <c r="S154" t="s">
        <v>594</v>
      </c>
      <c r="T154">
        <v>153</v>
      </c>
      <c r="U154" t="s">
        <v>597</v>
      </c>
      <c r="V154" t="s">
        <v>598</v>
      </c>
      <c r="W154" t="s">
        <v>598</v>
      </c>
      <c r="X154" t="s">
        <v>625</v>
      </c>
      <c r="Y154" t="s">
        <v>600</v>
      </c>
      <c r="AB154" t="s">
        <v>600</v>
      </c>
      <c r="AC154" t="s">
        <v>600</v>
      </c>
      <c r="AI154" t="s">
        <v>601</v>
      </c>
      <c r="AJ154" t="s">
        <v>601</v>
      </c>
    </row>
  </sheetData>
  <phoneticPr fontId="6"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51881-F18D-4758-90F7-D565C1377DD0}">
  <sheetPr codeName="Sheet12">
    <tabColor rgb="FF064DD9"/>
  </sheetPr>
  <dimension ref="A1:Y19"/>
  <sheetViews>
    <sheetView workbookViewId="0">
      <selection activeCell="D6" sqref="D6"/>
    </sheetView>
  </sheetViews>
  <sheetFormatPr defaultColWidth="8.7109375" defaultRowHeight="15"/>
  <cols>
    <col min="1" max="1" width="7.28515625" bestFit="1" customWidth="1"/>
    <col min="2" max="2" width="11.7109375" bestFit="1" customWidth="1"/>
    <col min="3" max="3" width="51.140625" bestFit="1" customWidth="1"/>
    <col min="4" max="4" width="67.42578125" bestFit="1" customWidth="1"/>
    <col min="5" max="6" width="81.140625" bestFit="1" customWidth="1"/>
    <col min="7" max="7" width="18.5703125" bestFit="1" customWidth="1"/>
    <col min="8" max="8" width="30.42578125" bestFit="1" customWidth="1"/>
    <col min="9" max="9" width="5.140625" bestFit="1" customWidth="1"/>
    <col min="10" max="10" width="18.140625" bestFit="1" customWidth="1"/>
    <col min="11" max="11" width="10.7109375" bestFit="1" customWidth="1"/>
    <col min="12" max="12" width="13.7109375" bestFit="1" customWidth="1"/>
    <col min="13" max="13" width="10.140625" bestFit="1" customWidth="1"/>
    <col min="14" max="14" width="15.7109375" bestFit="1" customWidth="1"/>
    <col min="15" max="15" width="11.140625" bestFit="1" customWidth="1"/>
    <col min="16" max="16" width="7.5703125" bestFit="1" customWidth="1"/>
    <col min="17" max="17" width="28.85546875" bestFit="1" customWidth="1"/>
    <col min="18" max="18" width="29.5703125" bestFit="1" customWidth="1"/>
    <col min="19" max="19" width="26.5703125" bestFit="1" customWidth="1"/>
    <col min="20" max="20" width="23.42578125" bestFit="1" customWidth="1"/>
    <col min="21" max="21" width="33.28515625" bestFit="1" customWidth="1"/>
    <col min="22" max="22" width="24.7109375" bestFit="1" customWidth="1"/>
    <col min="23" max="23" width="33.140625" bestFit="1" customWidth="1"/>
    <col min="24" max="24" width="22.42578125" bestFit="1" customWidth="1"/>
    <col min="25" max="25" width="25.7109375" bestFit="1" customWidth="1"/>
    <col min="26" max="26" width="22.42578125" bestFit="1" customWidth="1"/>
    <col min="27" max="27" width="25.7109375" bestFit="1" customWidth="1"/>
  </cols>
  <sheetData>
    <row r="1" spans="1:25">
      <c r="A1" t="s">
        <v>1437</v>
      </c>
      <c r="B1" t="s">
        <v>96</v>
      </c>
      <c r="C1" t="s">
        <v>1438</v>
      </c>
      <c r="D1" t="s">
        <v>1439</v>
      </c>
      <c r="E1" t="s">
        <v>1440</v>
      </c>
      <c r="F1" t="s">
        <v>1441</v>
      </c>
      <c r="G1" t="s">
        <v>565</v>
      </c>
      <c r="H1" t="s">
        <v>566</v>
      </c>
      <c r="I1" t="s">
        <v>95</v>
      </c>
      <c r="J1" t="s">
        <v>567</v>
      </c>
      <c r="K1" t="s">
        <v>568</v>
      </c>
      <c r="L1" t="s">
        <v>569</v>
      </c>
      <c r="M1" t="s">
        <v>570</v>
      </c>
      <c r="N1" t="s">
        <v>571</v>
      </c>
      <c r="O1" t="s">
        <v>572</v>
      </c>
      <c r="P1" t="s">
        <v>573</v>
      </c>
      <c r="Q1" t="s">
        <v>574</v>
      </c>
      <c r="R1" t="s">
        <v>575</v>
      </c>
      <c r="S1" t="s">
        <v>576</v>
      </c>
      <c r="T1" t="s">
        <v>577</v>
      </c>
      <c r="U1" t="s">
        <v>578</v>
      </c>
      <c r="V1" t="s">
        <v>579</v>
      </c>
      <c r="W1" t="s">
        <v>580</v>
      </c>
      <c r="X1" t="s">
        <v>581</v>
      </c>
      <c r="Y1" t="s">
        <v>582</v>
      </c>
    </row>
    <row r="2" spans="1:25">
      <c r="A2" t="s">
        <v>584</v>
      </c>
      <c r="B2">
        <v>1</v>
      </c>
      <c r="C2" t="s">
        <v>1442</v>
      </c>
      <c r="D2" t="s">
        <v>1443</v>
      </c>
      <c r="E2" t="s">
        <v>1444</v>
      </c>
      <c r="F2" t="s">
        <v>1445</v>
      </c>
      <c r="G2" t="s">
        <v>594</v>
      </c>
      <c r="H2" t="s">
        <v>594</v>
      </c>
      <c r="I2">
        <v>1</v>
      </c>
      <c r="J2" t="s">
        <v>597</v>
      </c>
      <c r="K2" t="s">
        <v>598</v>
      </c>
      <c r="L2" t="s">
        <v>598</v>
      </c>
      <c r="M2" t="s">
        <v>625</v>
      </c>
      <c r="N2" t="s">
        <v>600</v>
      </c>
      <c r="Q2" t="s">
        <v>600</v>
      </c>
      <c r="R2" t="s">
        <v>600</v>
      </c>
      <c r="X2" t="s">
        <v>601</v>
      </c>
      <c r="Y2" t="s">
        <v>601</v>
      </c>
    </row>
    <row r="3" spans="1:25">
      <c r="A3" t="s">
        <v>632</v>
      </c>
      <c r="B3">
        <v>2</v>
      </c>
      <c r="C3" t="s">
        <v>1446</v>
      </c>
      <c r="D3" t="s">
        <v>1447</v>
      </c>
      <c r="E3" t="s">
        <v>1448</v>
      </c>
      <c r="F3" t="s">
        <v>1449</v>
      </c>
      <c r="G3" t="s">
        <v>594</v>
      </c>
      <c r="H3" t="s">
        <v>594</v>
      </c>
      <c r="I3">
        <v>2</v>
      </c>
      <c r="J3" t="s">
        <v>597</v>
      </c>
      <c r="K3" t="s">
        <v>598</v>
      </c>
      <c r="L3" t="s">
        <v>598</v>
      </c>
      <c r="M3" t="s">
        <v>625</v>
      </c>
      <c r="N3" t="s">
        <v>600</v>
      </c>
      <c r="Q3" t="s">
        <v>600</v>
      </c>
      <c r="R3" t="s">
        <v>600</v>
      </c>
      <c r="X3" t="s">
        <v>601</v>
      </c>
      <c r="Y3" t="s">
        <v>601</v>
      </c>
    </row>
    <row r="4" spans="1:25">
      <c r="A4" t="s">
        <v>688</v>
      </c>
      <c r="B4">
        <v>3</v>
      </c>
      <c r="C4" t="s">
        <v>1450</v>
      </c>
      <c r="D4" t="s">
        <v>1451</v>
      </c>
      <c r="E4" t="s">
        <v>1452</v>
      </c>
      <c r="F4" t="s">
        <v>1453</v>
      </c>
      <c r="G4" t="s">
        <v>594</v>
      </c>
      <c r="H4" t="s">
        <v>594</v>
      </c>
      <c r="I4">
        <v>3</v>
      </c>
      <c r="J4" t="s">
        <v>597</v>
      </c>
      <c r="K4" t="s">
        <v>598</v>
      </c>
      <c r="L4" t="s">
        <v>598</v>
      </c>
      <c r="M4" t="s">
        <v>625</v>
      </c>
      <c r="N4" t="s">
        <v>600</v>
      </c>
      <c r="Q4" t="s">
        <v>600</v>
      </c>
      <c r="R4" t="s">
        <v>600</v>
      </c>
      <c r="X4" t="s">
        <v>601</v>
      </c>
      <c r="Y4" t="s">
        <v>601</v>
      </c>
    </row>
    <row r="5" spans="1:25">
      <c r="A5" t="s">
        <v>772</v>
      </c>
      <c r="B5">
        <v>4</v>
      </c>
      <c r="C5" t="s">
        <v>1454</v>
      </c>
      <c r="D5" t="s">
        <v>1455</v>
      </c>
      <c r="E5" t="s">
        <v>1456</v>
      </c>
      <c r="F5" t="s">
        <v>1457</v>
      </c>
      <c r="G5" t="s">
        <v>594</v>
      </c>
      <c r="H5" t="s">
        <v>594</v>
      </c>
      <c r="I5">
        <v>4</v>
      </c>
      <c r="J5" t="s">
        <v>597</v>
      </c>
      <c r="K5" t="s">
        <v>598</v>
      </c>
      <c r="L5" t="s">
        <v>598</v>
      </c>
      <c r="M5" t="s">
        <v>625</v>
      </c>
      <c r="N5" t="s">
        <v>600</v>
      </c>
      <c r="Q5" t="s">
        <v>600</v>
      </c>
      <c r="R5" t="s">
        <v>600</v>
      </c>
      <c r="X5" t="s">
        <v>601</v>
      </c>
      <c r="Y5" t="s">
        <v>601</v>
      </c>
    </row>
    <row r="6" spans="1:25">
      <c r="A6" t="s">
        <v>840</v>
      </c>
      <c r="B6">
        <v>5</v>
      </c>
      <c r="C6" t="s">
        <v>1458</v>
      </c>
      <c r="D6" t="s">
        <v>1459</v>
      </c>
      <c r="E6" t="s">
        <v>1460</v>
      </c>
      <c r="F6" t="s">
        <v>1461</v>
      </c>
      <c r="G6" t="s">
        <v>594</v>
      </c>
      <c r="H6" t="s">
        <v>594</v>
      </c>
      <c r="I6">
        <v>5</v>
      </c>
      <c r="J6" t="s">
        <v>597</v>
      </c>
      <c r="K6" t="s">
        <v>598</v>
      </c>
      <c r="L6" t="s">
        <v>598</v>
      </c>
      <c r="M6" t="s">
        <v>625</v>
      </c>
      <c r="N6" t="s">
        <v>600</v>
      </c>
      <c r="Q6" t="s">
        <v>600</v>
      </c>
      <c r="R6" t="s">
        <v>600</v>
      </c>
      <c r="X6" t="s">
        <v>601</v>
      </c>
      <c r="Y6" t="s">
        <v>601</v>
      </c>
    </row>
    <row r="7" spans="1:25">
      <c r="A7" t="s">
        <v>877</v>
      </c>
      <c r="B7">
        <v>6</v>
      </c>
      <c r="C7" t="s">
        <v>1462</v>
      </c>
      <c r="D7" t="s">
        <v>1463</v>
      </c>
      <c r="E7" t="s">
        <v>1464</v>
      </c>
      <c r="F7" t="s">
        <v>1465</v>
      </c>
      <c r="G7" t="s">
        <v>594</v>
      </c>
      <c r="H7" t="s">
        <v>594</v>
      </c>
      <c r="I7">
        <v>6</v>
      </c>
      <c r="J7" t="s">
        <v>597</v>
      </c>
      <c r="K7" t="s">
        <v>598</v>
      </c>
      <c r="L7" t="s">
        <v>598</v>
      </c>
      <c r="M7" t="s">
        <v>625</v>
      </c>
      <c r="N7" t="s">
        <v>600</v>
      </c>
      <c r="Q7" t="s">
        <v>600</v>
      </c>
      <c r="R7" t="s">
        <v>600</v>
      </c>
      <c r="X7" t="s">
        <v>601</v>
      </c>
      <c r="Y7" t="s">
        <v>601</v>
      </c>
    </row>
    <row r="8" spans="1:25">
      <c r="A8" t="s">
        <v>917</v>
      </c>
      <c r="B8">
        <v>7</v>
      </c>
      <c r="C8" t="s">
        <v>1466</v>
      </c>
      <c r="D8" t="s">
        <v>1467</v>
      </c>
      <c r="E8" t="s">
        <v>1468</v>
      </c>
      <c r="F8" t="s">
        <v>1469</v>
      </c>
      <c r="G8" t="s">
        <v>594</v>
      </c>
      <c r="H8" t="s">
        <v>594</v>
      </c>
      <c r="I8">
        <v>7</v>
      </c>
      <c r="J8" t="s">
        <v>597</v>
      </c>
      <c r="K8" t="s">
        <v>598</v>
      </c>
      <c r="L8" t="s">
        <v>598</v>
      </c>
      <c r="M8" t="s">
        <v>625</v>
      </c>
      <c r="N8" t="s">
        <v>600</v>
      </c>
      <c r="Q8" t="s">
        <v>600</v>
      </c>
      <c r="R8" t="s">
        <v>600</v>
      </c>
      <c r="X8" t="s">
        <v>601</v>
      </c>
      <c r="Y8" t="s">
        <v>601</v>
      </c>
    </row>
    <row r="9" spans="1:25">
      <c r="A9" t="s">
        <v>952</v>
      </c>
      <c r="B9">
        <v>8</v>
      </c>
      <c r="C9" t="s">
        <v>1470</v>
      </c>
      <c r="D9" t="s">
        <v>1471</v>
      </c>
      <c r="E9" t="s">
        <v>1472</v>
      </c>
      <c r="F9" t="s">
        <v>1473</v>
      </c>
      <c r="G9" t="s">
        <v>594</v>
      </c>
      <c r="H9" t="s">
        <v>594</v>
      </c>
      <c r="I9">
        <v>8</v>
      </c>
      <c r="J9" t="s">
        <v>597</v>
      </c>
      <c r="K9" t="s">
        <v>598</v>
      </c>
      <c r="L9" t="s">
        <v>598</v>
      </c>
      <c r="M9" t="s">
        <v>625</v>
      </c>
      <c r="N9" t="s">
        <v>600</v>
      </c>
      <c r="Q9" t="s">
        <v>600</v>
      </c>
      <c r="R9" t="s">
        <v>600</v>
      </c>
      <c r="X9" t="s">
        <v>601</v>
      </c>
      <c r="Y9" t="s">
        <v>601</v>
      </c>
    </row>
    <row r="10" spans="1:25">
      <c r="A10" t="s">
        <v>1013</v>
      </c>
      <c r="B10">
        <v>9</v>
      </c>
      <c r="C10" t="s">
        <v>1474</v>
      </c>
      <c r="D10" t="s">
        <v>1475</v>
      </c>
      <c r="E10" t="s">
        <v>1476</v>
      </c>
      <c r="F10" t="s">
        <v>1477</v>
      </c>
      <c r="G10" t="s">
        <v>594</v>
      </c>
      <c r="H10" t="s">
        <v>594</v>
      </c>
      <c r="I10">
        <v>9</v>
      </c>
      <c r="J10" t="s">
        <v>597</v>
      </c>
      <c r="K10" t="s">
        <v>598</v>
      </c>
      <c r="L10" t="s">
        <v>598</v>
      </c>
      <c r="M10" t="s">
        <v>625</v>
      </c>
      <c r="N10" t="s">
        <v>600</v>
      </c>
      <c r="Q10" t="s">
        <v>600</v>
      </c>
      <c r="R10" t="s">
        <v>600</v>
      </c>
      <c r="X10" t="s">
        <v>601</v>
      </c>
      <c r="Y10" t="s">
        <v>601</v>
      </c>
    </row>
    <row r="11" spans="1:25">
      <c r="A11" t="s">
        <v>1051</v>
      </c>
      <c r="B11">
        <v>10</v>
      </c>
      <c r="C11" t="s">
        <v>1478</v>
      </c>
      <c r="D11" t="s">
        <v>1479</v>
      </c>
      <c r="E11" t="s">
        <v>1480</v>
      </c>
      <c r="F11" t="s">
        <v>1481</v>
      </c>
      <c r="G11" t="s">
        <v>594</v>
      </c>
      <c r="H11" t="s">
        <v>594</v>
      </c>
      <c r="I11">
        <v>10</v>
      </c>
      <c r="J11" t="s">
        <v>597</v>
      </c>
      <c r="K11" t="s">
        <v>598</v>
      </c>
      <c r="L11" t="s">
        <v>598</v>
      </c>
      <c r="M11" t="s">
        <v>625</v>
      </c>
      <c r="N11" t="s">
        <v>600</v>
      </c>
      <c r="Q11" t="s">
        <v>600</v>
      </c>
      <c r="R11" t="s">
        <v>600</v>
      </c>
      <c r="X11" t="s">
        <v>601</v>
      </c>
      <c r="Y11" t="s">
        <v>601</v>
      </c>
    </row>
    <row r="12" spans="1:25">
      <c r="A12" t="s">
        <v>1087</v>
      </c>
      <c r="B12">
        <v>11</v>
      </c>
      <c r="C12" t="s">
        <v>1482</v>
      </c>
      <c r="D12" t="s">
        <v>1483</v>
      </c>
      <c r="E12" t="s">
        <v>1484</v>
      </c>
      <c r="F12" t="s">
        <v>1485</v>
      </c>
      <c r="G12" t="s">
        <v>594</v>
      </c>
      <c r="H12" t="s">
        <v>594</v>
      </c>
      <c r="I12">
        <v>11</v>
      </c>
      <c r="J12" t="s">
        <v>597</v>
      </c>
      <c r="K12" t="s">
        <v>598</v>
      </c>
      <c r="L12" t="s">
        <v>598</v>
      </c>
      <c r="M12" t="s">
        <v>625</v>
      </c>
      <c r="N12" t="s">
        <v>600</v>
      </c>
      <c r="Q12" t="s">
        <v>600</v>
      </c>
      <c r="R12" t="s">
        <v>600</v>
      </c>
      <c r="X12" t="s">
        <v>601</v>
      </c>
      <c r="Y12" t="s">
        <v>601</v>
      </c>
    </row>
    <row r="13" spans="1:25">
      <c r="A13" t="s">
        <v>1115</v>
      </c>
      <c r="B13">
        <v>12</v>
      </c>
      <c r="C13" t="s">
        <v>1486</v>
      </c>
      <c r="D13" t="s">
        <v>1487</v>
      </c>
      <c r="E13" t="s">
        <v>1488</v>
      </c>
      <c r="F13" t="s">
        <v>1489</v>
      </c>
      <c r="G13" t="s">
        <v>594</v>
      </c>
      <c r="H13" t="s">
        <v>594</v>
      </c>
      <c r="I13">
        <v>12</v>
      </c>
      <c r="J13" t="s">
        <v>597</v>
      </c>
      <c r="K13" t="s">
        <v>598</v>
      </c>
      <c r="L13" t="s">
        <v>598</v>
      </c>
      <c r="M13" t="s">
        <v>625</v>
      </c>
      <c r="N13" t="s">
        <v>600</v>
      </c>
      <c r="Q13" t="s">
        <v>600</v>
      </c>
      <c r="R13" t="s">
        <v>600</v>
      </c>
      <c r="X13" t="s">
        <v>601</v>
      </c>
      <c r="Y13" t="s">
        <v>601</v>
      </c>
    </row>
    <row r="14" spans="1:25">
      <c r="A14" t="s">
        <v>1156</v>
      </c>
      <c r="B14">
        <v>13</v>
      </c>
      <c r="C14" t="s">
        <v>1490</v>
      </c>
      <c r="D14" t="s">
        <v>1491</v>
      </c>
      <c r="E14" t="s">
        <v>1492</v>
      </c>
      <c r="F14" t="s">
        <v>1493</v>
      </c>
      <c r="G14" t="s">
        <v>594</v>
      </c>
      <c r="H14" t="s">
        <v>594</v>
      </c>
      <c r="I14">
        <v>13</v>
      </c>
      <c r="J14" t="s">
        <v>597</v>
      </c>
      <c r="K14" t="s">
        <v>598</v>
      </c>
      <c r="L14" t="s">
        <v>598</v>
      </c>
      <c r="M14" t="s">
        <v>625</v>
      </c>
      <c r="N14" t="s">
        <v>600</v>
      </c>
      <c r="Q14" t="s">
        <v>600</v>
      </c>
      <c r="R14" t="s">
        <v>600</v>
      </c>
      <c r="X14" t="s">
        <v>601</v>
      </c>
      <c r="Y14" t="s">
        <v>601</v>
      </c>
    </row>
    <row r="15" spans="1:25">
      <c r="A15" t="s">
        <v>1213</v>
      </c>
      <c r="B15">
        <v>14</v>
      </c>
      <c r="C15" t="s">
        <v>1494</v>
      </c>
      <c r="D15" t="s">
        <v>1495</v>
      </c>
      <c r="E15" t="s">
        <v>1496</v>
      </c>
      <c r="F15" t="s">
        <v>1497</v>
      </c>
      <c r="G15" t="s">
        <v>594</v>
      </c>
      <c r="H15" t="s">
        <v>594</v>
      </c>
      <c r="I15">
        <v>14</v>
      </c>
      <c r="J15" t="s">
        <v>597</v>
      </c>
      <c r="K15" t="s">
        <v>598</v>
      </c>
      <c r="L15" t="s">
        <v>598</v>
      </c>
      <c r="M15" t="s">
        <v>625</v>
      </c>
      <c r="N15" t="s">
        <v>600</v>
      </c>
      <c r="Q15" t="s">
        <v>600</v>
      </c>
      <c r="R15" t="s">
        <v>600</v>
      </c>
      <c r="X15" t="s">
        <v>601</v>
      </c>
      <c r="Y15" t="s">
        <v>601</v>
      </c>
    </row>
    <row r="16" spans="1:25">
      <c r="A16" t="s">
        <v>1259</v>
      </c>
      <c r="B16">
        <v>15</v>
      </c>
      <c r="C16" t="s">
        <v>1498</v>
      </c>
      <c r="D16" t="s">
        <v>1499</v>
      </c>
      <c r="E16" t="s">
        <v>1500</v>
      </c>
      <c r="F16" t="s">
        <v>1501</v>
      </c>
      <c r="G16" t="s">
        <v>594</v>
      </c>
      <c r="H16" t="s">
        <v>594</v>
      </c>
      <c r="I16">
        <v>15</v>
      </c>
      <c r="J16" t="s">
        <v>597</v>
      </c>
      <c r="K16" t="s">
        <v>598</v>
      </c>
      <c r="L16" t="s">
        <v>598</v>
      </c>
      <c r="M16" t="s">
        <v>625</v>
      </c>
      <c r="N16" t="s">
        <v>600</v>
      </c>
      <c r="Q16" t="s">
        <v>600</v>
      </c>
      <c r="R16" t="s">
        <v>600</v>
      </c>
      <c r="X16" t="s">
        <v>601</v>
      </c>
      <c r="Y16" t="s">
        <v>601</v>
      </c>
    </row>
    <row r="17" spans="1:25">
      <c r="A17" t="s">
        <v>1295</v>
      </c>
      <c r="B17">
        <v>16</v>
      </c>
      <c r="C17" t="s">
        <v>1502</v>
      </c>
      <c r="D17" t="s">
        <v>1503</v>
      </c>
      <c r="E17" t="s">
        <v>1504</v>
      </c>
      <c r="F17" t="s">
        <v>1505</v>
      </c>
      <c r="G17" t="s">
        <v>594</v>
      </c>
      <c r="H17" t="s">
        <v>594</v>
      </c>
      <c r="I17">
        <v>16</v>
      </c>
      <c r="J17" t="s">
        <v>597</v>
      </c>
      <c r="K17" t="s">
        <v>598</v>
      </c>
      <c r="L17" t="s">
        <v>598</v>
      </c>
      <c r="M17" t="s">
        <v>625</v>
      </c>
      <c r="N17" t="s">
        <v>600</v>
      </c>
      <c r="Q17" t="s">
        <v>600</v>
      </c>
      <c r="R17" t="s">
        <v>600</v>
      </c>
      <c r="X17" t="s">
        <v>601</v>
      </c>
      <c r="Y17" t="s">
        <v>601</v>
      </c>
    </row>
    <row r="18" spans="1:25">
      <c r="A18" t="s">
        <v>1366</v>
      </c>
      <c r="B18">
        <v>17</v>
      </c>
      <c r="C18" t="s">
        <v>1506</v>
      </c>
      <c r="D18" t="s">
        <v>1507</v>
      </c>
      <c r="E18" t="s">
        <v>1508</v>
      </c>
      <c r="F18" t="s">
        <v>1509</v>
      </c>
      <c r="G18" t="s">
        <v>594</v>
      </c>
      <c r="H18" t="s">
        <v>594</v>
      </c>
      <c r="I18">
        <v>17</v>
      </c>
      <c r="J18" t="s">
        <v>597</v>
      </c>
      <c r="K18" t="s">
        <v>598</v>
      </c>
      <c r="L18" t="s">
        <v>598</v>
      </c>
      <c r="M18" t="s">
        <v>625</v>
      </c>
      <c r="N18" t="s">
        <v>600</v>
      </c>
      <c r="Q18" t="s">
        <v>600</v>
      </c>
      <c r="R18" t="s">
        <v>600</v>
      </c>
      <c r="X18" t="s">
        <v>601</v>
      </c>
      <c r="Y18" t="s">
        <v>601</v>
      </c>
    </row>
    <row r="19" spans="1:25">
      <c r="A19" t="s">
        <v>1412</v>
      </c>
      <c r="B19">
        <v>18</v>
      </c>
      <c r="C19" t="s">
        <v>1510</v>
      </c>
      <c r="D19" t="s">
        <v>1511</v>
      </c>
      <c r="E19" t="s">
        <v>1512</v>
      </c>
      <c r="F19" t="s">
        <v>1513</v>
      </c>
      <c r="G19" t="s">
        <v>594</v>
      </c>
      <c r="H19" t="s">
        <v>594</v>
      </c>
      <c r="I19">
        <v>18</v>
      </c>
      <c r="J19" t="s">
        <v>597</v>
      </c>
      <c r="K19" t="s">
        <v>598</v>
      </c>
      <c r="L19" t="s">
        <v>598</v>
      </c>
      <c r="M19" t="s">
        <v>625</v>
      </c>
      <c r="N19" t="s">
        <v>600</v>
      </c>
      <c r="Q19" t="s">
        <v>600</v>
      </c>
      <c r="R19" t="s">
        <v>600</v>
      </c>
      <c r="X19" t="s">
        <v>601</v>
      </c>
      <c r="Y19" t="s">
        <v>601</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1BBBE-34C7-46F4-ACC7-102A065746B5}">
  <sheetPr codeName="Sheet10">
    <tabColor rgb="FF064DD9"/>
  </sheetPr>
  <dimension ref="A1:AC7"/>
  <sheetViews>
    <sheetView workbookViewId="0">
      <selection sqref="A1:AE7"/>
    </sheetView>
  </sheetViews>
  <sheetFormatPr defaultColWidth="8.85546875" defaultRowHeight="15"/>
  <cols>
    <col min="1" max="6" width="81.140625" bestFit="1" customWidth="1"/>
    <col min="7" max="7" width="79.85546875" bestFit="1" customWidth="1"/>
    <col min="8" max="8" width="81.140625" bestFit="1" customWidth="1"/>
    <col min="9" max="9" width="72.42578125" bestFit="1" customWidth="1"/>
    <col min="10" max="10" width="78.7109375" bestFit="1" customWidth="1"/>
    <col min="11" max="11" width="18.5703125" bestFit="1" customWidth="1"/>
    <col min="12" max="12" width="30.42578125" bestFit="1" customWidth="1"/>
    <col min="13" max="13" width="5.140625" bestFit="1" customWidth="1"/>
    <col min="14" max="14" width="18.140625" bestFit="1" customWidth="1"/>
    <col min="15" max="15" width="10.7109375" bestFit="1" customWidth="1"/>
    <col min="16" max="16" width="13.7109375" bestFit="1" customWidth="1"/>
    <col min="17" max="17" width="10.140625" bestFit="1" customWidth="1"/>
    <col min="18" max="18" width="15.7109375" bestFit="1" customWidth="1"/>
    <col min="19" max="19" width="11.140625" bestFit="1" customWidth="1"/>
    <col min="20" max="20" width="7.5703125" bestFit="1" customWidth="1"/>
    <col min="21" max="21" width="28.85546875" bestFit="1" customWidth="1"/>
    <col min="22" max="22" width="29.5703125" bestFit="1" customWidth="1"/>
    <col min="23" max="23" width="26.5703125" bestFit="1" customWidth="1"/>
    <col min="24" max="24" width="23.42578125" bestFit="1" customWidth="1"/>
    <col min="25" max="25" width="33.28515625" bestFit="1" customWidth="1"/>
    <col min="26" max="26" width="24.7109375" bestFit="1" customWidth="1"/>
    <col min="27" max="27" width="33.140625" bestFit="1" customWidth="1"/>
    <col min="28" max="28" width="22.42578125" bestFit="1" customWidth="1"/>
    <col min="29" max="29" width="25.7109375" bestFit="1" customWidth="1"/>
    <col min="30" max="30" width="22.42578125" bestFit="1" customWidth="1"/>
    <col min="31" max="31" width="25.7109375" bestFit="1" customWidth="1"/>
    <col min="32" max="32" width="24.7109375" bestFit="1" customWidth="1"/>
    <col min="33" max="33" width="33.140625" bestFit="1" customWidth="1"/>
    <col min="34" max="34" width="22.42578125" bestFit="1" customWidth="1"/>
    <col min="35" max="35" width="25.7109375" bestFit="1" customWidth="1"/>
  </cols>
  <sheetData>
    <row r="1" spans="1:29">
      <c r="A1" t="s">
        <v>1514</v>
      </c>
      <c r="B1" t="s">
        <v>1515</v>
      </c>
      <c r="C1" t="s">
        <v>1516</v>
      </c>
      <c r="D1" t="s">
        <v>1517</v>
      </c>
      <c r="E1" t="s">
        <v>1518</v>
      </c>
      <c r="F1" t="s">
        <v>1519</v>
      </c>
      <c r="G1" t="s">
        <v>1520</v>
      </c>
      <c r="H1" t="s">
        <v>1521</v>
      </c>
      <c r="I1" t="s">
        <v>1522</v>
      </c>
      <c r="J1" t="s">
        <v>1523</v>
      </c>
      <c r="K1" t="s">
        <v>565</v>
      </c>
      <c r="L1" t="s">
        <v>566</v>
      </c>
      <c r="M1" t="s">
        <v>95</v>
      </c>
      <c r="N1" t="s">
        <v>567</v>
      </c>
      <c r="O1" t="s">
        <v>568</v>
      </c>
      <c r="P1" t="s">
        <v>569</v>
      </c>
      <c r="Q1" t="s">
        <v>570</v>
      </c>
      <c r="R1" t="s">
        <v>571</v>
      </c>
      <c r="S1" t="s">
        <v>572</v>
      </c>
      <c r="T1" t="s">
        <v>573</v>
      </c>
      <c r="U1" t="s">
        <v>574</v>
      </c>
      <c r="V1" t="s">
        <v>575</v>
      </c>
      <c r="W1" t="s">
        <v>576</v>
      </c>
      <c r="X1" t="s">
        <v>577</v>
      </c>
      <c r="Y1" t="s">
        <v>578</v>
      </c>
      <c r="Z1" t="s">
        <v>579</v>
      </c>
      <c r="AA1" t="s">
        <v>580</v>
      </c>
      <c r="AB1" t="s">
        <v>581</v>
      </c>
      <c r="AC1" t="s">
        <v>582</v>
      </c>
    </row>
    <row r="2" spans="1:29" ht="105">
      <c r="A2" t="s">
        <v>1524</v>
      </c>
      <c r="B2" t="s">
        <v>1525</v>
      </c>
      <c r="C2" t="s">
        <v>1526</v>
      </c>
      <c r="D2" s="8" t="s">
        <v>1527</v>
      </c>
      <c r="E2" t="s">
        <v>1528</v>
      </c>
      <c r="F2" t="s">
        <v>1529</v>
      </c>
      <c r="G2" t="s">
        <v>1530</v>
      </c>
      <c r="H2" t="s">
        <v>1531</v>
      </c>
      <c r="I2" t="s">
        <v>1532</v>
      </c>
      <c r="J2" t="s">
        <v>1533</v>
      </c>
      <c r="K2" t="s">
        <v>594</v>
      </c>
      <c r="L2" t="s">
        <v>594</v>
      </c>
      <c r="M2">
        <v>2</v>
      </c>
      <c r="N2" t="s">
        <v>1534</v>
      </c>
      <c r="O2" t="s">
        <v>598</v>
      </c>
      <c r="P2" t="s">
        <v>598</v>
      </c>
      <c r="Q2" t="s">
        <v>1535</v>
      </c>
      <c r="R2" t="s">
        <v>600</v>
      </c>
      <c r="U2" t="s">
        <v>600</v>
      </c>
      <c r="V2" t="s">
        <v>600</v>
      </c>
      <c r="AB2" t="s">
        <v>601</v>
      </c>
      <c r="AC2" t="s">
        <v>601</v>
      </c>
    </row>
    <row r="3" spans="1:29" ht="105">
      <c r="A3" t="s">
        <v>1536</v>
      </c>
      <c r="B3" t="s">
        <v>1537</v>
      </c>
      <c r="C3" t="s">
        <v>1538</v>
      </c>
      <c r="D3" s="8" t="s">
        <v>1539</v>
      </c>
      <c r="E3" t="s">
        <v>1540</v>
      </c>
      <c r="F3" t="s">
        <v>1541</v>
      </c>
      <c r="G3" t="s">
        <v>1530</v>
      </c>
      <c r="H3" t="s">
        <v>1531</v>
      </c>
      <c r="I3" t="s">
        <v>1532</v>
      </c>
      <c r="J3" t="s">
        <v>1533</v>
      </c>
      <c r="K3" t="s">
        <v>594</v>
      </c>
      <c r="L3" t="s">
        <v>594</v>
      </c>
      <c r="M3">
        <v>3</v>
      </c>
      <c r="N3" t="s">
        <v>1534</v>
      </c>
      <c r="O3" t="s">
        <v>598</v>
      </c>
      <c r="P3" t="s">
        <v>598</v>
      </c>
      <c r="Q3" t="s">
        <v>1542</v>
      </c>
      <c r="R3" t="s">
        <v>600</v>
      </c>
      <c r="U3" t="s">
        <v>600</v>
      </c>
      <c r="V3" t="s">
        <v>600</v>
      </c>
      <c r="AB3" t="s">
        <v>601</v>
      </c>
      <c r="AC3" t="s">
        <v>601</v>
      </c>
    </row>
    <row r="4" spans="1:29">
      <c r="A4" t="s">
        <v>1543</v>
      </c>
      <c r="B4" t="s">
        <v>1544</v>
      </c>
      <c r="C4" t="s">
        <v>1545</v>
      </c>
      <c r="D4" t="s">
        <v>1546</v>
      </c>
      <c r="E4" t="s">
        <v>1547</v>
      </c>
      <c r="F4" t="s">
        <v>1548</v>
      </c>
      <c r="G4" t="s">
        <v>1549</v>
      </c>
      <c r="H4" t="s">
        <v>1550</v>
      </c>
      <c r="I4" t="s">
        <v>1532</v>
      </c>
      <c r="J4" t="s">
        <v>1533</v>
      </c>
      <c r="K4" t="s">
        <v>594</v>
      </c>
      <c r="L4" t="s">
        <v>594</v>
      </c>
      <c r="M4">
        <v>4</v>
      </c>
      <c r="N4" t="s">
        <v>1534</v>
      </c>
      <c r="O4" t="s">
        <v>598</v>
      </c>
      <c r="P4" t="s">
        <v>598</v>
      </c>
      <c r="Q4" t="s">
        <v>1535</v>
      </c>
      <c r="R4" t="s">
        <v>600</v>
      </c>
      <c r="U4" t="s">
        <v>600</v>
      </c>
      <c r="V4" t="s">
        <v>600</v>
      </c>
      <c r="AB4" t="s">
        <v>601</v>
      </c>
      <c r="AC4" t="s">
        <v>601</v>
      </c>
    </row>
    <row r="5" spans="1:29">
      <c r="A5" t="s">
        <v>1551</v>
      </c>
      <c r="B5" t="s">
        <v>1552</v>
      </c>
      <c r="C5" t="s">
        <v>1553</v>
      </c>
      <c r="D5" t="s">
        <v>1554</v>
      </c>
      <c r="E5" t="s">
        <v>1555</v>
      </c>
      <c r="F5" t="s">
        <v>1556</v>
      </c>
      <c r="G5" t="s">
        <v>1549</v>
      </c>
      <c r="H5" t="s">
        <v>1550</v>
      </c>
      <c r="I5" t="s">
        <v>1532</v>
      </c>
      <c r="J5" t="s">
        <v>1533</v>
      </c>
      <c r="K5" t="s">
        <v>594</v>
      </c>
      <c r="L5" t="s">
        <v>594</v>
      </c>
      <c r="M5">
        <v>5</v>
      </c>
      <c r="N5" t="s">
        <v>1534</v>
      </c>
      <c r="O5" t="s">
        <v>598</v>
      </c>
      <c r="P5" t="s">
        <v>598</v>
      </c>
      <c r="Q5" t="s">
        <v>1535</v>
      </c>
      <c r="R5" t="s">
        <v>600</v>
      </c>
      <c r="U5" t="s">
        <v>600</v>
      </c>
      <c r="V5" t="s">
        <v>600</v>
      </c>
      <c r="AB5" t="s">
        <v>601</v>
      </c>
      <c r="AC5" t="s">
        <v>601</v>
      </c>
    </row>
    <row r="6" spans="1:29">
      <c r="A6" t="s">
        <v>1557</v>
      </c>
      <c r="B6" t="s">
        <v>1558</v>
      </c>
      <c r="C6" t="s">
        <v>1559</v>
      </c>
      <c r="D6" t="s">
        <v>1560</v>
      </c>
      <c r="E6" t="s">
        <v>1561</v>
      </c>
      <c r="F6" t="s">
        <v>1562</v>
      </c>
      <c r="G6" t="s">
        <v>1563</v>
      </c>
      <c r="H6" t="s">
        <v>1564</v>
      </c>
      <c r="I6" t="s">
        <v>1565</v>
      </c>
      <c r="J6" t="s">
        <v>1566</v>
      </c>
      <c r="K6" t="s">
        <v>594</v>
      </c>
      <c r="L6" t="s">
        <v>594</v>
      </c>
      <c r="M6">
        <v>6</v>
      </c>
      <c r="N6" t="s">
        <v>1534</v>
      </c>
      <c r="O6" t="s">
        <v>598</v>
      </c>
      <c r="P6" t="s">
        <v>598</v>
      </c>
      <c r="Q6" t="s">
        <v>611</v>
      </c>
      <c r="R6" t="s">
        <v>600</v>
      </c>
      <c r="U6" t="s">
        <v>600</v>
      </c>
      <c r="V6" t="s">
        <v>600</v>
      </c>
      <c r="AB6" t="s">
        <v>601</v>
      </c>
      <c r="AC6" t="s">
        <v>601</v>
      </c>
    </row>
    <row r="7" spans="1:29">
      <c r="A7" t="s">
        <v>1567</v>
      </c>
      <c r="B7" t="s">
        <v>1568</v>
      </c>
      <c r="C7" t="s">
        <v>1569</v>
      </c>
      <c r="D7" t="s">
        <v>1570</v>
      </c>
      <c r="E7" t="s">
        <v>1571</v>
      </c>
      <c r="F7" t="s">
        <v>1572</v>
      </c>
      <c r="G7" t="s">
        <v>1573</v>
      </c>
      <c r="H7" t="s">
        <v>1574</v>
      </c>
      <c r="I7" t="s">
        <v>1565</v>
      </c>
      <c r="J7" t="s">
        <v>1566</v>
      </c>
      <c r="K7" t="s">
        <v>594</v>
      </c>
      <c r="L7" t="s">
        <v>594</v>
      </c>
      <c r="M7">
        <v>7</v>
      </c>
      <c r="N7" t="s">
        <v>1534</v>
      </c>
      <c r="O7" t="s">
        <v>598</v>
      </c>
      <c r="P7" t="s">
        <v>598</v>
      </c>
      <c r="Q7" t="s">
        <v>611</v>
      </c>
      <c r="R7" t="s">
        <v>600</v>
      </c>
      <c r="U7" t="s">
        <v>600</v>
      </c>
      <c r="V7" t="s">
        <v>600</v>
      </c>
      <c r="AB7" t="s">
        <v>601</v>
      </c>
      <c r="AC7" t="s">
        <v>601</v>
      </c>
    </row>
  </sheetData>
  <phoneticPr fontId="6"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B1ED1-46C0-428D-838D-8E2DF30A09DF}">
  <sheetPr codeName="Sheet4">
    <tabColor rgb="FF064DD9"/>
  </sheetPr>
  <dimension ref="A1:K58"/>
  <sheetViews>
    <sheetView topLeftCell="C2" zoomScale="70" zoomScaleNormal="70" workbookViewId="0">
      <selection activeCell="C2" sqref="C2"/>
    </sheetView>
  </sheetViews>
  <sheetFormatPr defaultColWidth="9.140625" defaultRowHeight="15"/>
  <cols>
    <col min="1" max="1" width="44.28515625" bestFit="1" customWidth="1"/>
    <col min="2" max="2" width="57.140625" bestFit="1" customWidth="1"/>
    <col min="3" max="4" width="81.140625" bestFit="1" customWidth="1"/>
    <col min="5" max="5" width="56.28515625" bestFit="1" customWidth="1"/>
    <col min="6" max="6" width="41.42578125" bestFit="1" customWidth="1"/>
    <col min="7" max="7" width="57.140625" bestFit="1" customWidth="1"/>
    <col min="8" max="8" width="68.7109375" bestFit="1" customWidth="1"/>
    <col min="9" max="9" width="62.5703125" bestFit="1" customWidth="1"/>
    <col min="10" max="11" width="81.140625" bestFit="1" customWidth="1"/>
  </cols>
  <sheetData>
    <row r="1" spans="1:11">
      <c r="A1" t="s">
        <v>1575</v>
      </c>
      <c r="B1" t="s">
        <v>1576</v>
      </c>
      <c r="C1" t="s">
        <v>1577</v>
      </c>
      <c r="D1" t="s">
        <v>1578</v>
      </c>
      <c r="E1" t="s">
        <v>1579</v>
      </c>
      <c r="F1" t="s">
        <v>1580</v>
      </c>
      <c r="G1" t="s">
        <v>1581</v>
      </c>
      <c r="H1" t="s">
        <v>1582</v>
      </c>
      <c r="I1" t="s">
        <v>1583</v>
      </c>
      <c r="J1" t="s">
        <v>1584</v>
      </c>
      <c r="K1" t="s">
        <v>1585</v>
      </c>
    </row>
    <row r="2" spans="1:11">
      <c r="A2" t="s">
        <v>1586</v>
      </c>
      <c r="B2" t="s">
        <v>1587</v>
      </c>
      <c r="C2" t="s">
        <v>1588</v>
      </c>
      <c r="D2" t="s">
        <v>1589</v>
      </c>
      <c r="E2" t="s">
        <v>1590</v>
      </c>
      <c r="F2">
        <v>1</v>
      </c>
      <c r="G2" t="s">
        <v>1591</v>
      </c>
      <c r="H2" t="s">
        <v>1592</v>
      </c>
      <c r="I2" t="s">
        <v>1593</v>
      </c>
      <c r="J2" t="s">
        <v>1594</v>
      </c>
      <c r="K2" t="s">
        <v>1595</v>
      </c>
    </row>
    <row r="3" spans="1:11">
      <c r="A3" t="s">
        <v>1596</v>
      </c>
      <c r="B3" t="s">
        <v>1587</v>
      </c>
      <c r="C3" t="s">
        <v>1588</v>
      </c>
      <c r="D3" t="s">
        <v>1597</v>
      </c>
      <c r="E3" t="s">
        <v>1590</v>
      </c>
      <c r="F3">
        <v>2</v>
      </c>
      <c r="G3" t="s">
        <v>1591</v>
      </c>
      <c r="H3" t="s">
        <v>1592</v>
      </c>
      <c r="I3" t="s">
        <v>1598</v>
      </c>
      <c r="J3" t="s">
        <v>1599</v>
      </c>
      <c r="K3" t="s">
        <v>1600</v>
      </c>
    </row>
    <row r="4" spans="1:11">
      <c r="A4" t="s">
        <v>1601</v>
      </c>
      <c r="B4" t="s">
        <v>1587</v>
      </c>
      <c r="C4" t="s">
        <v>1602</v>
      </c>
      <c r="D4" t="s">
        <v>1603</v>
      </c>
      <c r="E4" t="s">
        <v>1590</v>
      </c>
      <c r="F4">
        <v>3</v>
      </c>
      <c r="G4" t="s">
        <v>1591</v>
      </c>
      <c r="H4" t="s">
        <v>1604</v>
      </c>
      <c r="I4" t="s">
        <v>1605</v>
      </c>
      <c r="J4" t="s">
        <v>1606</v>
      </c>
      <c r="K4" t="s">
        <v>1607</v>
      </c>
    </row>
    <row r="5" spans="1:11">
      <c r="A5" t="s">
        <v>1608</v>
      </c>
      <c r="B5" t="s">
        <v>1587</v>
      </c>
      <c r="C5" t="s">
        <v>1602</v>
      </c>
      <c r="D5" t="s">
        <v>1609</v>
      </c>
      <c r="E5" t="s">
        <v>1590</v>
      </c>
      <c r="F5">
        <v>4</v>
      </c>
      <c r="G5" t="s">
        <v>1591</v>
      </c>
      <c r="H5" t="s">
        <v>1604</v>
      </c>
      <c r="I5" t="s">
        <v>1610</v>
      </c>
      <c r="J5" t="s">
        <v>1611</v>
      </c>
      <c r="K5" t="s">
        <v>1612</v>
      </c>
    </row>
    <row r="6" spans="1:11">
      <c r="A6" t="s">
        <v>1613</v>
      </c>
      <c r="B6" t="s">
        <v>1587</v>
      </c>
      <c r="C6" t="s">
        <v>1602</v>
      </c>
      <c r="D6" t="s">
        <v>1614</v>
      </c>
      <c r="E6" t="s">
        <v>1590</v>
      </c>
      <c r="F6">
        <v>5</v>
      </c>
      <c r="G6" t="s">
        <v>1591</v>
      </c>
      <c r="H6" t="s">
        <v>1604</v>
      </c>
      <c r="I6" t="s">
        <v>1615</v>
      </c>
      <c r="J6" t="s">
        <v>1616</v>
      </c>
      <c r="K6" t="s">
        <v>1617</v>
      </c>
    </row>
    <row r="7" spans="1:11">
      <c r="A7" t="s">
        <v>1618</v>
      </c>
      <c r="B7" t="s">
        <v>1587</v>
      </c>
      <c r="C7" t="s">
        <v>1602</v>
      </c>
      <c r="D7" t="s">
        <v>1619</v>
      </c>
      <c r="E7" t="s">
        <v>1590</v>
      </c>
      <c r="F7">
        <v>6</v>
      </c>
      <c r="G7" t="s">
        <v>1591</v>
      </c>
      <c r="H7" t="s">
        <v>1604</v>
      </c>
      <c r="I7" t="s">
        <v>1620</v>
      </c>
      <c r="J7" t="s">
        <v>1621</v>
      </c>
      <c r="K7" t="s">
        <v>1622</v>
      </c>
    </row>
    <row r="8" spans="1:11">
      <c r="A8" t="s">
        <v>1623</v>
      </c>
      <c r="B8" t="s">
        <v>1587</v>
      </c>
      <c r="C8" t="s">
        <v>1624</v>
      </c>
      <c r="D8" t="s">
        <v>1625</v>
      </c>
      <c r="E8" t="s">
        <v>1590</v>
      </c>
      <c r="F8">
        <v>10</v>
      </c>
      <c r="G8" t="s">
        <v>1591</v>
      </c>
      <c r="H8" t="s">
        <v>1626</v>
      </c>
      <c r="I8" t="s">
        <v>1627</v>
      </c>
      <c r="J8" t="s">
        <v>1628</v>
      </c>
      <c r="K8" t="s">
        <v>1629</v>
      </c>
    </row>
    <row r="9" spans="1:11">
      <c r="A9" t="s">
        <v>1630</v>
      </c>
      <c r="B9" t="s">
        <v>1587</v>
      </c>
      <c r="C9" t="s">
        <v>1624</v>
      </c>
      <c r="D9" t="s">
        <v>1631</v>
      </c>
      <c r="E9" t="s">
        <v>1590</v>
      </c>
      <c r="F9">
        <v>11</v>
      </c>
      <c r="G9" t="s">
        <v>1591</v>
      </c>
      <c r="H9" t="s">
        <v>1626</v>
      </c>
      <c r="I9" t="s">
        <v>1632</v>
      </c>
      <c r="J9" t="s">
        <v>1633</v>
      </c>
      <c r="K9" t="s">
        <v>1634</v>
      </c>
    </row>
    <row r="10" spans="1:11">
      <c r="A10" t="s">
        <v>1635</v>
      </c>
      <c r="B10" t="s">
        <v>1587</v>
      </c>
      <c r="C10" t="s">
        <v>1624</v>
      </c>
      <c r="D10" t="s">
        <v>1636</v>
      </c>
      <c r="E10" t="s">
        <v>1590</v>
      </c>
      <c r="F10">
        <v>7</v>
      </c>
      <c r="G10" t="s">
        <v>1591</v>
      </c>
      <c r="H10" t="s">
        <v>1626</v>
      </c>
      <c r="I10" t="s">
        <v>1637</v>
      </c>
      <c r="J10" t="s">
        <v>1638</v>
      </c>
      <c r="K10" t="s">
        <v>1639</v>
      </c>
    </row>
    <row r="11" spans="1:11">
      <c r="A11" t="s">
        <v>1640</v>
      </c>
      <c r="B11" t="s">
        <v>1587</v>
      </c>
      <c r="C11" t="s">
        <v>1624</v>
      </c>
      <c r="D11" t="s">
        <v>1641</v>
      </c>
      <c r="E11" t="s">
        <v>1590</v>
      </c>
      <c r="F11">
        <v>8</v>
      </c>
      <c r="G11" t="s">
        <v>1591</v>
      </c>
      <c r="H11" t="s">
        <v>1626</v>
      </c>
      <c r="I11" t="s">
        <v>1642</v>
      </c>
      <c r="J11" t="s">
        <v>1643</v>
      </c>
      <c r="K11" t="s">
        <v>1644</v>
      </c>
    </row>
    <row r="12" spans="1:11">
      <c r="A12" t="s">
        <v>1645</v>
      </c>
      <c r="B12" t="s">
        <v>1587</v>
      </c>
      <c r="C12" t="s">
        <v>1624</v>
      </c>
      <c r="D12" t="s">
        <v>1646</v>
      </c>
      <c r="E12" t="s">
        <v>1590</v>
      </c>
      <c r="F12">
        <v>9</v>
      </c>
      <c r="G12" t="s">
        <v>1591</v>
      </c>
      <c r="H12" t="s">
        <v>1626</v>
      </c>
      <c r="I12" t="s">
        <v>1647</v>
      </c>
      <c r="J12" t="s">
        <v>1648</v>
      </c>
      <c r="K12" t="s">
        <v>1649</v>
      </c>
    </row>
    <row r="13" spans="1:11">
      <c r="A13" t="s">
        <v>1650</v>
      </c>
      <c r="B13" t="s">
        <v>1651</v>
      </c>
      <c r="C13" t="s">
        <v>1652</v>
      </c>
      <c r="D13" t="s">
        <v>1653</v>
      </c>
      <c r="E13" t="s">
        <v>1590</v>
      </c>
      <c r="F13">
        <v>12</v>
      </c>
      <c r="G13" t="s">
        <v>1654</v>
      </c>
      <c r="H13" t="s">
        <v>1655</v>
      </c>
      <c r="I13" t="s">
        <v>1656</v>
      </c>
      <c r="J13" t="s">
        <v>1657</v>
      </c>
      <c r="K13" t="s">
        <v>1658</v>
      </c>
    </row>
    <row r="14" spans="1:11">
      <c r="A14" t="s">
        <v>1659</v>
      </c>
      <c r="B14" t="s">
        <v>1651</v>
      </c>
      <c r="C14" t="s">
        <v>1652</v>
      </c>
      <c r="D14" t="s">
        <v>1660</v>
      </c>
      <c r="E14" t="s">
        <v>1590</v>
      </c>
      <c r="F14">
        <v>13</v>
      </c>
      <c r="G14" t="s">
        <v>1654</v>
      </c>
      <c r="H14" t="s">
        <v>1655</v>
      </c>
      <c r="I14" t="s">
        <v>1661</v>
      </c>
      <c r="J14" t="s">
        <v>1662</v>
      </c>
      <c r="K14" t="s">
        <v>1663</v>
      </c>
    </row>
    <row r="15" spans="1:11">
      <c r="A15" t="s">
        <v>1664</v>
      </c>
      <c r="B15" t="s">
        <v>1651</v>
      </c>
      <c r="C15" t="s">
        <v>1665</v>
      </c>
      <c r="D15" t="s">
        <v>1666</v>
      </c>
      <c r="E15" t="s">
        <v>1590</v>
      </c>
      <c r="F15">
        <v>14</v>
      </c>
      <c r="G15" t="s">
        <v>1654</v>
      </c>
      <c r="H15" t="s">
        <v>1667</v>
      </c>
      <c r="I15" t="s">
        <v>1668</v>
      </c>
      <c r="J15" t="s">
        <v>1669</v>
      </c>
      <c r="K15" t="s">
        <v>1670</v>
      </c>
    </row>
    <row r="16" spans="1:11">
      <c r="A16" t="s">
        <v>1671</v>
      </c>
      <c r="B16" t="s">
        <v>1651</v>
      </c>
      <c r="C16" t="s">
        <v>1665</v>
      </c>
      <c r="D16" t="s">
        <v>1672</v>
      </c>
      <c r="E16" t="s">
        <v>1590</v>
      </c>
      <c r="F16">
        <v>15</v>
      </c>
      <c r="G16" t="s">
        <v>1654</v>
      </c>
      <c r="H16" t="s">
        <v>1667</v>
      </c>
      <c r="I16" t="s">
        <v>1673</v>
      </c>
      <c r="J16" t="s">
        <v>1674</v>
      </c>
      <c r="K16" t="s">
        <v>1675</v>
      </c>
    </row>
    <row r="17" spans="1:11">
      <c r="A17" t="s">
        <v>1676</v>
      </c>
      <c r="B17" t="s">
        <v>1651</v>
      </c>
      <c r="C17" t="s">
        <v>1665</v>
      </c>
      <c r="D17" t="s">
        <v>1677</v>
      </c>
      <c r="E17" t="s">
        <v>1590</v>
      </c>
      <c r="F17">
        <v>16</v>
      </c>
      <c r="G17" t="s">
        <v>1654</v>
      </c>
      <c r="H17" t="s">
        <v>1667</v>
      </c>
      <c r="I17" t="s">
        <v>1678</v>
      </c>
      <c r="J17" t="s">
        <v>1679</v>
      </c>
      <c r="K17" t="s">
        <v>1680</v>
      </c>
    </row>
    <row r="18" spans="1:11">
      <c r="A18" t="s">
        <v>1681</v>
      </c>
      <c r="B18" t="s">
        <v>1651</v>
      </c>
      <c r="C18" t="s">
        <v>1665</v>
      </c>
      <c r="D18" t="s">
        <v>1682</v>
      </c>
      <c r="E18" t="s">
        <v>1590</v>
      </c>
      <c r="F18">
        <v>17</v>
      </c>
      <c r="G18" t="s">
        <v>1654</v>
      </c>
      <c r="H18" t="s">
        <v>1667</v>
      </c>
      <c r="I18" t="s">
        <v>1683</v>
      </c>
      <c r="J18" t="s">
        <v>1684</v>
      </c>
      <c r="K18" t="s">
        <v>1685</v>
      </c>
    </row>
    <row r="19" spans="1:11">
      <c r="A19" t="s">
        <v>1686</v>
      </c>
      <c r="B19" t="s">
        <v>1651</v>
      </c>
      <c r="C19" t="s">
        <v>1687</v>
      </c>
      <c r="D19" t="s">
        <v>1688</v>
      </c>
      <c r="E19" t="s">
        <v>1590</v>
      </c>
      <c r="F19">
        <v>18</v>
      </c>
      <c r="G19" t="s">
        <v>1654</v>
      </c>
      <c r="H19" t="s">
        <v>1689</v>
      </c>
      <c r="I19" t="s">
        <v>1690</v>
      </c>
      <c r="J19" t="s">
        <v>1691</v>
      </c>
      <c r="K19" t="s">
        <v>1692</v>
      </c>
    </row>
    <row r="20" spans="1:11">
      <c r="A20" t="s">
        <v>1693</v>
      </c>
      <c r="B20" t="s">
        <v>1651</v>
      </c>
      <c r="C20" t="s">
        <v>1687</v>
      </c>
      <c r="D20" t="s">
        <v>1694</v>
      </c>
      <c r="E20" t="s">
        <v>1590</v>
      </c>
      <c r="F20">
        <v>19</v>
      </c>
      <c r="G20" t="s">
        <v>1654</v>
      </c>
      <c r="H20" t="s">
        <v>1689</v>
      </c>
      <c r="I20" t="s">
        <v>1695</v>
      </c>
      <c r="J20" t="s">
        <v>1696</v>
      </c>
      <c r="K20" t="s">
        <v>1697</v>
      </c>
    </row>
    <row r="21" spans="1:11">
      <c r="A21" t="s">
        <v>1698</v>
      </c>
      <c r="B21" t="s">
        <v>1651</v>
      </c>
      <c r="C21" t="s">
        <v>1699</v>
      </c>
      <c r="D21" t="s">
        <v>1700</v>
      </c>
      <c r="E21" t="s">
        <v>1590</v>
      </c>
      <c r="F21">
        <v>20</v>
      </c>
      <c r="G21" t="s">
        <v>1654</v>
      </c>
      <c r="H21" t="s">
        <v>1701</v>
      </c>
      <c r="I21" t="s">
        <v>1702</v>
      </c>
      <c r="J21" t="s">
        <v>1703</v>
      </c>
      <c r="K21" t="s">
        <v>1704</v>
      </c>
    </row>
    <row r="22" spans="1:11">
      <c r="A22" t="s">
        <v>1705</v>
      </c>
      <c r="B22" t="s">
        <v>1651</v>
      </c>
      <c r="C22" t="s">
        <v>1699</v>
      </c>
      <c r="D22" t="s">
        <v>1706</v>
      </c>
      <c r="E22" t="s">
        <v>1590</v>
      </c>
      <c r="F22">
        <v>21</v>
      </c>
      <c r="G22" t="s">
        <v>1654</v>
      </c>
      <c r="H22" t="s">
        <v>1701</v>
      </c>
      <c r="I22" t="s">
        <v>1707</v>
      </c>
      <c r="J22" t="s">
        <v>1708</v>
      </c>
      <c r="K22" t="s">
        <v>1709</v>
      </c>
    </row>
    <row r="23" spans="1:11">
      <c r="A23" t="s">
        <v>1710</v>
      </c>
      <c r="B23" t="s">
        <v>1651</v>
      </c>
      <c r="C23" t="s">
        <v>1711</v>
      </c>
      <c r="D23" t="s">
        <v>1712</v>
      </c>
      <c r="E23" t="s">
        <v>1590</v>
      </c>
      <c r="F23">
        <v>22</v>
      </c>
      <c r="G23" t="s">
        <v>1654</v>
      </c>
      <c r="H23" t="s">
        <v>1713</v>
      </c>
      <c r="I23" t="s">
        <v>1714</v>
      </c>
      <c r="J23" t="s">
        <v>1715</v>
      </c>
      <c r="K23" t="s">
        <v>1716</v>
      </c>
    </row>
    <row r="24" spans="1:11">
      <c r="A24" t="s">
        <v>1717</v>
      </c>
      <c r="B24" t="s">
        <v>1651</v>
      </c>
      <c r="C24" t="s">
        <v>1711</v>
      </c>
      <c r="D24" t="s">
        <v>1718</v>
      </c>
      <c r="E24" t="s">
        <v>1590</v>
      </c>
      <c r="F24">
        <v>23</v>
      </c>
      <c r="G24" t="s">
        <v>1654</v>
      </c>
      <c r="H24" t="s">
        <v>1713</v>
      </c>
      <c r="I24" t="s">
        <v>1719</v>
      </c>
      <c r="J24" t="s">
        <v>1720</v>
      </c>
      <c r="K24" t="s">
        <v>1721</v>
      </c>
    </row>
    <row r="25" spans="1:11">
      <c r="A25" t="s">
        <v>1722</v>
      </c>
      <c r="B25" t="s">
        <v>1651</v>
      </c>
      <c r="C25" t="s">
        <v>1711</v>
      </c>
      <c r="D25" t="s">
        <v>1723</v>
      </c>
      <c r="E25" t="s">
        <v>1590</v>
      </c>
      <c r="F25">
        <v>24</v>
      </c>
      <c r="G25" t="s">
        <v>1654</v>
      </c>
      <c r="H25" t="s">
        <v>1713</v>
      </c>
      <c r="I25" t="s">
        <v>1724</v>
      </c>
      <c r="J25" t="s">
        <v>1725</v>
      </c>
      <c r="K25" t="s">
        <v>1726</v>
      </c>
    </row>
    <row r="26" spans="1:11">
      <c r="A26" t="s">
        <v>1727</v>
      </c>
      <c r="B26" t="s">
        <v>1651</v>
      </c>
      <c r="C26" t="s">
        <v>1728</v>
      </c>
      <c r="D26" t="s">
        <v>1729</v>
      </c>
      <c r="E26" t="s">
        <v>1590</v>
      </c>
      <c r="F26">
        <v>25</v>
      </c>
      <c r="G26" t="s">
        <v>1654</v>
      </c>
      <c r="H26" t="s">
        <v>1730</v>
      </c>
      <c r="I26" t="s">
        <v>1731</v>
      </c>
      <c r="J26" t="s">
        <v>1732</v>
      </c>
      <c r="K26" t="s">
        <v>1733</v>
      </c>
    </row>
    <row r="27" spans="1:11">
      <c r="A27" t="s">
        <v>1734</v>
      </c>
      <c r="B27" t="s">
        <v>1651</v>
      </c>
      <c r="C27" t="s">
        <v>1728</v>
      </c>
      <c r="D27" t="s">
        <v>1735</v>
      </c>
      <c r="E27" t="s">
        <v>1590</v>
      </c>
      <c r="F27">
        <v>26</v>
      </c>
      <c r="G27" t="s">
        <v>1654</v>
      </c>
      <c r="H27" t="s">
        <v>1730</v>
      </c>
      <c r="I27" t="s">
        <v>1736</v>
      </c>
      <c r="J27" t="s">
        <v>1737</v>
      </c>
      <c r="K27" t="s">
        <v>1738</v>
      </c>
    </row>
    <row r="28" spans="1:11">
      <c r="A28" t="s">
        <v>1739</v>
      </c>
      <c r="B28" t="s">
        <v>1740</v>
      </c>
      <c r="C28" t="s">
        <v>1741</v>
      </c>
      <c r="D28" t="s">
        <v>1742</v>
      </c>
      <c r="E28" t="s">
        <v>1590</v>
      </c>
      <c r="F28">
        <v>27</v>
      </c>
      <c r="G28" t="s">
        <v>1743</v>
      </c>
      <c r="H28" t="s">
        <v>1744</v>
      </c>
      <c r="I28" t="s">
        <v>1745</v>
      </c>
      <c r="J28" t="s">
        <v>1746</v>
      </c>
      <c r="K28" t="s">
        <v>1747</v>
      </c>
    </row>
    <row r="29" spans="1:11">
      <c r="A29" t="s">
        <v>1748</v>
      </c>
      <c r="B29" t="s">
        <v>1740</v>
      </c>
      <c r="C29" t="s">
        <v>1741</v>
      </c>
      <c r="D29" t="s">
        <v>1749</v>
      </c>
      <c r="E29" t="s">
        <v>1590</v>
      </c>
      <c r="F29">
        <v>28</v>
      </c>
      <c r="G29" t="s">
        <v>1743</v>
      </c>
      <c r="H29" t="s">
        <v>1744</v>
      </c>
      <c r="I29" t="s">
        <v>1750</v>
      </c>
      <c r="J29" t="s">
        <v>1751</v>
      </c>
      <c r="K29" t="s">
        <v>1752</v>
      </c>
    </row>
    <row r="30" spans="1:11">
      <c r="A30" t="s">
        <v>1753</v>
      </c>
      <c r="B30" t="s">
        <v>1740</v>
      </c>
      <c r="C30" t="s">
        <v>1741</v>
      </c>
      <c r="D30" t="s">
        <v>1754</v>
      </c>
      <c r="E30" t="s">
        <v>1590</v>
      </c>
      <c r="F30">
        <v>29</v>
      </c>
      <c r="G30" t="s">
        <v>1743</v>
      </c>
      <c r="H30" t="s">
        <v>1744</v>
      </c>
      <c r="I30" t="s">
        <v>1755</v>
      </c>
      <c r="J30" t="s">
        <v>1756</v>
      </c>
      <c r="K30" t="s">
        <v>1757</v>
      </c>
    </row>
    <row r="31" spans="1:11">
      <c r="A31" t="s">
        <v>1758</v>
      </c>
      <c r="B31" t="s">
        <v>1740</v>
      </c>
      <c r="C31" t="s">
        <v>1741</v>
      </c>
      <c r="D31" t="s">
        <v>1759</v>
      </c>
      <c r="E31" t="s">
        <v>1590</v>
      </c>
      <c r="F31">
        <v>30</v>
      </c>
      <c r="G31" t="s">
        <v>1743</v>
      </c>
      <c r="H31" t="s">
        <v>1744</v>
      </c>
      <c r="I31" t="s">
        <v>1760</v>
      </c>
      <c r="J31" t="s">
        <v>1761</v>
      </c>
      <c r="K31" t="s">
        <v>1762</v>
      </c>
    </row>
    <row r="32" spans="1:11">
      <c r="A32" t="s">
        <v>1763</v>
      </c>
      <c r="B32" t="s">
        <v>1740</v>
      </c>
      <c r="C32" t="s">
        <v>1764</v>
      </c>
      <c r="D32" t="s">
        <v>1765</v>
      </c>
      <c r="E32" t="s">
        <v>1590</v>
      </c>
      <c r="F32">
        <v>31</v>
      </c>
      <c r="G32" t="s">
        <v>1743</v>
      </c>
      <c r="H32" t="s">
        <v>1766</v>
      </c>
      <c r="I32" t="s">
        <v>1767</v>
      </c>
      <c r="J32" t="s">
        <v>1768</v>
      </c>
      <c r="K32" t="s">
        <v>1769</v>
      </c>
    </row>
    <row r="33" spans="1:11">
      <c r="A33" t="s">
        <v>1770</v>
      </c>
      <c r="B33" t="s">
        <v>1740</v>
      </c>
      <c r="C33" t="s">
        <v>1764</v>
      </c>
      <c r="D33" t="s">
        <v>1771</v>
      </c>
      <c r="E33" t="s">
        <v>1590</v>
      </c>
      <c r="F33">
        <v>32</v>
      </c>
      <c r="G33" t="s">
        <v>1743</v>
      </c>
      <c r="H33" t="s">
        <v>1766</v>
      </c>
      <c r="I33" t="s">
        <v>1772</v>
      </c>
      <c r="J33" t="s">
        <v>1773</v>
      </c>
      <c r="K33" t="s">
        <v>1774</v>
      </c>
    </row>
    <row r="34" spans="1:11">
      <c r="A34" t="s">
        <v>1775</v>
      </c>
      <c r="B34" t="s">
        <v>1740</v>
      </c>
      <c r="C34" t="s">
        <v>1764</v>
      </c>
      <c r="D34" t="s">
        <v>1776</v>
      </c>
      <c r="E34" t="s">
        <v>1590</v>
      </c>
      <c r="F34">
        <v>33</v>
      </c>
      <c r="G34" t="s">
        <v>1743</v>
      </c>
      <c r="H34" t="s">
        <v>1766</v>
      </c>
      <c r="I34" t="s">
        <v>1777</v>
      </c>
      <c r="J34" t="s">
        <v>1778</v>
      </c>
      <c r="K34" t="s">
        <v>1779</v>
      </c>
    </row>
    <row r="35" spans="1:11">
      <c r="A35" t="s">
        <v>1780</v>
      </c>
      <c r="B35" t="s">
        <v>1740</v>
      </c>
      <c r="C35" t="s">
        <v>1781</v>
      </c>
      <c r="D35" t="s">
        <v>1782</v>
      </c>
      <c r="E35" t="s">
        <v>1590</v>
      </c>
      <c r="F35">
        <v>34</v>
      </c>
      <c r="G35" t="s">
        <v>1743</v>
      </c>
      <c r="H35" t="s">
        <v>1783</v>
      </c>
      <c r="I35" t="s">
        <v>1784</v>
      </c>
      <c r="J35" t="s">
        <v>1785</v>
      </c>
      <c r="K35" t="s">
        <v>1786</v>
      </c>
    </row>
    <row r="36" spans="1:11">
      <c r="A36" t="s">
        <v>1787</v>
      </c>
      <c r="B36" t="s">
        <v>1740</v>
      </c>
      <c r="C36" t="s">
        <v>1781</v>
      </c>
      <c r="D36" t="s">
        <v>1788</v>
      </c>
      <c r="E36" t="s">
        <v>1590</v>
      </c>
      <c r="F36">
        <v>35</v>
      </c>
      <c r="G36" t="s">
        <v>1743</v>
      </c>
      <c r="H36" t="s">
        <v>1783</v>
      </c>
      <c r="I36" t="s">
        <v>1789</v>
      </c>
      <c r="J36" t="s">
        <v>1790</v>
      </c>
      <c r="K36" t="s">
        <v>1791</v>
      </c>
    </row>
    <row r="37" spans="1:11">
      <c r="A37" t="s">
        <v>1792</v>
      </c>
      <c r="B37" t="s">
        <v>1740</v>
      </c>
      <c r="C37" t="s">
        <v>1781</v>
      </c>
      <c r="D37" t="s">
        <v>1793</v>
      </c>
      <c r="E37" t="s">
        <v>1590</v>
      </c>
      <c r="F37">
        <v>36</v>
      </c>
      <c r="G37" t="s">
        <v>1743</v>
      </c>
      <c r="H37" t="s">
        <v>1783</v>
      </c>
      <c r="I37" t="s">
        <v>1794</v>
      </c>
      <c r="J37" t="s">
        <v>1795</v>
      </c>
      <c r="K37" t="s">
        <v>1796</v>
      </c>
    </row>
    <row r="38" spans="1:11">
      <c r="A38" t="s">
        <v>1797</v>
      </c>
      <c r="B38" t="s">
        <v>1740</v>
      </c>
      <c r="C38" t="s">
        <v>1798</v>
      </c>
      <c r="D38" t="s">
        <v>1799</v>
      </c>
      <c r="E38" t="s">
        <v>1590</v>
      </c>
      <c r="F38">
        <v>37</v>
      </c>
      <c r="G38" t="s">
        <v>1743</v>
      </c>
      <c r="H38" t="s">
        <v>1800</v>
      </c>
      <c r="I38" t="s">
        <v>1801</v>
      </c>
      <c r="J38" t="s">
        <v>1802</v>
      </c>
      <c r="K38" t="s">
        <v>1803</v>
      </c>
    </row>
    <row r="39" spans="1:11">
      <c r="A39" t="s">
        <v>1804</v>
      </c>
      <c r="B39" t="s">
        <v>1740</v>
      </c>
      <c r="C39" t="s">
        <v>1798</v>
      </c>
      <c r="D39" t="s">
        <v>1805</v>
      </c>
      <c r="E39" t="s">
        <v>1590</v>
      </c>
      <c r="F39">
        <v>38</v>
      </c>
      <c r="G39" t="s">
        <v>1743</v>
      </c>
      <c r="H39" t="s">
        <v>1800</v>
      </c>
      <c r="I39" t="s">
        <v>1806</v>
      </c>
      <c r="J39" t="s">
        <v>1807</v>
      </c>
      <c r="K39" t="s">
        <v>1808</v>
      </c>
    </row>
    <row r="40" spans="1:11">
      <c r="A40" t="s">
        <v>1809</v>
      </c>
      <c r="B40" t="s">
        <v>1740</v>
      </c>
      <c r="C40" t="s">
        <v>1810</v>
      </c>
      <c r="D40" t="s">
        <v>1811</v>
      </c>
      <c r="E40" t="s">
        <v>1590</v>
      </c>
      <c r="F40">
        <v>39</v>
      </c>
      <c r="G40" t="s">
        <v>1743</v>
      </c>
      <c r="H40" t="s">
        <v>1812</v>
      </c>
      <c r="I40" t="s">
        <v>1813</v>
      </c>
      <c r="J40" t="s">
        <v>1814</v>
      </c>
      <c r="K40" t="s">
        <v>1815</v>
      </c>
    </row>
    <row r="41" spans="1:11">
      <c r="A41" t="s">
        <v>1816</v>
      </c>
      <c r="B41" t="s">
        <v>1740</v>
      </c>
      <c r="C41" t="s">
        <v>1810</v>
      </c>
      <c r="D41" t="s">
        <v>1817</v>
      </c>
      <c r="E41" t="s">
        <v>1590</v>
      </c>
      <c r="F41">
        <v>40</v>
      </c>
      <c r="G41" t="s">
        <v>1743</v>
      </c>
      <c r="H41" t="s">
        <v>1812</v>
      </c>
      <c r="I41" t="s">
        <v>1818</v>
      </c>
      <c r="J41" t="s">
        <v>1819</v>
      </c>
      <c r="K41" t="s">
        <v>1820</v>
      </c>
    </row>
    <row r="42" spans="1:11">
      <c r="A42" t="s">
        <v>1821</v>
      </c>
      <c r="B42" t="s">
        <v>1740</v>
      </c>
      <c r="C42" t="s">
        <v>1810</v>
      </c>
      <c r="D42" t="s">
        <v>1822</v>
      </c>
      <c r="E42" t="s">
        <v>1590</v>
      </c>
      <c r="F42">
        <v>41</v>
      </c>
      <c r="G42" t="s">
        <v>1743</v>
      </c>
      <c r="H42" t="s">
        <v>1812</v>
      </c>
      <c r="I42" t="s">
        <v>1823</v>
      </c>
      <c r="J42" t="s">
        <v>1824</v>
      </c>
      <c r="K42" t="s">
        <v>1825</v>
      </c>
    </row>
    <row r="43" spans="1:11">
      <c r="A43" t="s">
        <v>1826</v>
      </c>
      <c r="B43" t="s">
        <v>1740</v>
      </c>
      <c r="C43" t="s">
        <v>1827</v>
      </c>
      <c r="D43" t="s">
        <v>1828</v>
      </c>
      <c r="E43" t="s">
        <v>1590</v>
      </c>
      <c r="F43">
        <v>42</v>
      </c>
      <c r="G43" t="s">
        <v>1743</v>
      </c>
      <c r="H43" t="s">
        <v>1829</v>
      </c>
      <c r="I43" t="s">
        <v>1830</v>
      </c>
      <c r="J43" t="s">
        <v>1831</v>
      </c>
      <c r="K43" t="s">
        <v>1832</v>
      </c>
    </row>
    <row r="44" spans="1:11">
      <c r="A44" t="s">
        <v>1833</v>
      </c>
      <c r="B44" t="s">
        <v>1740</v>
      </c>
      <c r="C44" t="s">
        <v>1834</v>
      </c>
      <c r="D44" t="s">
        <v>1835</v>
      </c>
      <c r="E44" t="s">
        <v>1590</v>
      </c>
      <c r="F44">
        <v>43</v>
      </c>
      <c r="G44" t="s">
        <v>1743</v>
      </c>
      <c r="H44" t="s">
        <v>1836</v>
      </c>
      <c r="I44" t="s">
        <v>1837</v>
      </c>
      <c r="J44" t="s">
        <v>1838</v>
      </c>
      <c r="K44" t="s">
        <v>1839</v>
      </c>
    </row>
    <row r="45" spans="1:11">
      <c r="A45" t="s">
        <v>1840</v>
      </c>
      <c r="B45" t="s">
        <v>1841</v>
      </c>
      <c r="C45" t="s">
        <v>1842</v>
      </c>
      <c r="D45" t="s">
        <v>1843</v>
      </c>
      <c r="E45" t="s">
        <v>1590</v>
      </c>
      <c r="F45">
        <v>44</v>
      </c>
      <c r="G45" t="s">
        <v>1844</v>
      </c>
      <c r="H45" t="s">
        <v>1845</v>
      </c>
      <c r="I45" t="s">
        <v>1846</v>
      </c>
      <c r="J45" t="s">
        <v>1847</v>
      </c>
      <c r="K45" t="s">
        <v>1848</v>
      </c>
    </row>
    <row r="46" spans="1:11">
      <c r="A46" t="s">
        <v>1849</v>
      </c>
      <c r="B46" t="s">
        <v>1841</v>
      </c>
      <c r="C46" t="s">
        <v>1850</v>
      </c>
      <c r="D46" t="s">
        <v>1851</v>
      </c>
      <c r="E46" t="s">
        <v>1590</v>
      </c>
      <c r="F46">
        <v>45</v>
      </c>
      <c r="G46" t="s">
        <v>1844</v>
      </c>
      <c r="H46" t="s">
        <v>1852</v>
      </c>
      <c r="I46" t="s">
        <v>1853</v>
      </c>
      <c r="J46" t="s">
        <v>1854</v>
      </c>
      <c r="K46" t="s">
        <v>1855</v>
      </c>
    </row>
    <row r="47" spans="1:11">
      <c r="A47" t="s">
        <v>1856</v>
      </c>
      <c r="B47" t="s">
        <v>1841</v>
      </c>
      <c r="C47" t="s">
        <v>1850</v>
      </c>
      <c r="D47" t="s">
        <v>1857</v>
      </c>
      <c r="E47" t="s">
        <v>1590</v>
      </c>
      <c r="F47">
        <v>46</v>
      </c>
      <c r="G47" t="s">
        <v>1844</v>
      </c>
      <c r="H47" t="s">
        <v>1852</v>
      </c>
      <c r="I47" t="s">
        <v>1858</v>
      </c>
      <c r="J47" t="s">
        <v>1859</v>
      </c>
      <c r="K47" t="s">
        <v>1860</v>
      </c>
    </row>
    <row r="48" spans="1:11">
      <c r="A48" t="s">
        <v>1861</v>
      </c>
      <c r="B48" t="s">
        <v>1841</v>
      </c>
      <c r="C48" t="s">
        <v>1850</v>
      </c>
      <c r="D48" t="s">
        <v>1862</v>
      </c>
      <c r="E48" t="s">
        <v>1590</v>
      </c>
      <c r="F48">
        <v>57</v>
      </c>
      <c r="G48" t="s">
        <v>1844</v>
      </c>
      <c r="H48" t="s">
        <v>1852</v>
      </c>
      <c r="I48" t="s">
        <v>1863</v>
      </c>
      <c r="J48" t="s">
        <v>1864</v>
      </c>
      <c r="K48" t="s">
        <v>1865</v>
      </c>
    </row>
    <row r="49" spans="1:11">
      <c r="A49" t="s">
        <v>1866</v>
      </c>
      <c r="B49" t="s">
        <v>1841</v>
      </c>
      <c r="C49" t="s">
        <v>1867</v>
      </c>
      <c r="D49" t="s">
        <v>1868</v>
      </c>
      <c r="E49" t="s">
        <v>1590</v>
      </c>
      <c r="F49">
        <v>47</v>
      </c>
      <c r="G49" t="s">
        <v>1844</v>
      </c>
      <c r="H49" t="s">
        <v>1869</v>
      </c>
      <c r="I49" t="s">
        <v>1870</v>
      </c>
      <c r="J49" t="s">
        <v>1871</v>
      </c>
      <c r="K49" t="s">
        <v>1872</v>
      </c>
    </row>
    <row r="50" spans="1:11">
      <c r="A50" t="s">
        <v>1873</v>
      </c>
      <c r="B50" t="s">
        <v>1841</v>
      </c>
      <c r="C50" t="s">
        <v>1867</v>
      </c>
      <c r="D50" t="s">
        <v>1874</v>
      </c>
      <c r="E50" t="s">
        <v>1590</v>
      </c>
      <c r="F50">
        <v>48</v>
      </c>
      <c r="G50" t="s">
        <v>1844</v>
      </c>
      <c r="H50" t="s">
        <v>1869</v>
      </c>
      <c r="I50" t="s">
        <v>1875</v>
      </c>
      <c r="J50" t="s">
        <v>1876</v>
      </c>
      <c r="K50" t="s">
        <v>1877</v>
      </c>
    </row>
    <row r="51" spans="1:11">
      <c r="A51" t="s">
        <v>1878</v>
      </c>
      <c r="B51" t="s">
        <v>1841</v>
      </c>
      <c r="C51" t="s">
        <v>1867</v>
      </c>
      <c r="D51" t="s">
        <v>1879</v>
      </c>
      <c r="E51" t="s">
        <v>1590</v>
      </c>
      <c r="F51">
        <v>49</v>
      </c>
      <c r="G51" t="s">
        <v>1844</v>
      </c>
      <c r="H51" t="s">
        <v>1869</v>
      </c>
      <c r="I51" t="s">
        <v>1880</v>
      </c>
      <c r="J51" t="s">
        <v>1881</v>
      </c>
      <c r="K51" t="s">
        <v>1882</v>
      </c>
    </row>
    <row r="52" spans="1:11">
      <c r="A52" t="s">
        <v>1883</v>
      </c>
      <c r="B52" t="s">
        <v>1841</v>
      </c>
      <c r="C52" t="s">
        <v>1867</v>
      </c>
      <c r="D52" t="s">
        <v>1884</v>
      </c>
      <c r="E52" t="s">
        <v>1590</v>
      </c>
      <c r="F52">
        <v>50</v>
      </c>
      <c r="G52" t="s">
        <v>1844</v>
      </c>
      <c r="H52" t="s">
        <v>1869</v>
      </c>
      <c r="I52" t="s">
        <v>1885</v>
      </c>
      <c r="J52" t="s">
        <v>1886</v>
      </c>
      <c r="K52" t="s">
        <v>1887</v>
      </c>
    </row>
    <row r="53" spans="1:11">
      <c r="A53" t="s">
        <v>1888</v>
      </c>
      <c r="B53" t="s">
        <v>1841</v>
      </c>
      <c r="C53" t="s">
        <v>1889</v>
      </c>
      <c r="D53" t="s">
        <v>1890</v>
      </c>
      <c r="E53" t="s">
        <v>1590</v>
      </c>
      <c r="F53">
        <v>51</v>
      </c>
      <c r="G53" t="s">
        <v>1844</v>
      </c>
      <c r="H53" t="s">
        <v>1891</v>
      </c>
      <c r="I53" t="s">
        <v>1892</v>
      </c>
      <c r="J53" t="s">
        <v>1893</v>
      </c>
      <c r="K53" t="s">
        <v>1894</v>
      </c>
    </row>
    <row r="54" spans="1:11">
      <c r="A54" t="s">
        <v>1895</v>
      </c>
      <c r="B54" t="s">
        <v>1841</v>
      </c>
      <c r="C54" t="s">
        <v>1896</v>
      </c>
      <c r="D54" t="s">
        <v>1897</v>
      </c>
      <c r="E54" t="s">
        <v>1590</v>
      </c>
      <c r="F54">
        <v>52</v>
      </c>
      <c r="G54" t="s">
        <v>1844</v>
      </c>
      <c r="H54" t="s">
        <v>1898</v>
      </c>
      <c r="I54" t="s">
        <v>1899</v>
      </c>
      <c r="J54" t="s">
        <v>1900</v>
      </c>
      <c r="K54" t="s">
        <v>1901</v>
      </c>
    </row>
    <row r="55" spans="1:11">
      <c r="A55" t="s">
        <v>1902</v>
      </c>
      <c r="B55" t="s">
        <v>1841</v>
      </c>
      <c r="C55" t="s">
        <v>1903</v>
      </c>
      <c r="D55" t="s">
        <v>1904</v>
      </c>
      <c r="E55" t="s">
        <v>1590</v>
      </c>
      <c r="F55">
        <v>53</v>
      </c>
      <c r="G55" t="s">
        <v>1844</v>
      </c>
      <c r="H55" t="s">
        <v>1905</v>
      </c>
      <c r="I55" t="s">
        <v>1906</v>
      </c>
      <c r="J55" t="s">
        <v>1907</v>
      </c>
      <c r="K55" t="s">
        <v>1908</v>
      </c>
    </row>
    <row r="56" spans="1:11">
      <c r="A56" t="s">
        <v>1909</v>
      </c>
      <c r="B56" t="s">
        <v>1841</v>
      </c>
      <c r="C56" t="s">
        <v>1910</v>
      </c>
      <c r="D56" t="s">
        <v>1911</v>
      </c>
      <c r="E56" t="s">
        <v>1590</v>
      </c>
      <c r="F56">
        <v>54</v>
      </c>
      <c r="G56" t="s">
        <v>1844</v>
      </c>
      <c r="H56" t="s">
        <v>1912</v>
      </c>
      <c r="I56" t="s">
        <v>1913</v>
      </c>
      <c r="J56" t="s">
        <v>1914</v>
      </c>
      <c r="K56" t="s">
        <v>1915</v>
      </c>
    </row>
    <row r="57" spans="1:11">
      <c r="A57" t="s">
        <v>1916</v>
      </c>
      <c r="B57" t="s">
        <v>1841</v>
      </c>
      <c r="C57" t="s">
        <v>1917</v>
      </c>
      <c r="D57" t="s">
        <v>1918</v>
      </c>
      <c r="E57" t="s">
        <v>1590</v>
      </c>
      <c r="F57">
        <v>55</v>
      </c>
      <c r="G57" t="s">
        <v>1844</v>
      </c>
      <c r="H57" t="s">
        <v>1919</v>
      </c>
      <c r="I57" t="s">
        <v>1920</v>
      </c>
      <c r="J57" t="s">
        <v>1921</v>
      </c>
      <c r="K57" t="s">
        <v>1922</v>
      </c>
    </row>
    <row r="58" spans="1:11">
      <c r="A58" t="s">
        <v>1923</v>
      </c>
      <c r="B58" t="s">
        <v>1841</v>
      </c>
      <c r="C58" t="s">
        <v>1924</v>
      </c>
      <c r="D58" t="s">
        <v>1925</v>
      </c>
      <c r="E58" t="s">
        <v>1590</v>
      </c>
      <c r="F58">
        <v>56</v>
      </c>
      <c r="G58" t="s">
        <v>1844</v>
      </c>
      <c r="H58" t="s">
        <v>1926</v>
      </c>
      <c r="I58" t="s">
        <v>1927</v>
      </c>
      <c r="J58" t="s">
        <v>1928</v>
      </c>
      <c r="K58" t="s">
        <v>1929</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33F13-A27D-46A1-93CB-EA88A93C76E6}">
  <sheetPr codeName="Feuil12">
    <tabColor rgb="FF064DD9"/>
  </sheetPr>
  <dimension ref="A1:AA23"/>
  <sheetViews>
    <sheetView workbookViewId="0"/>
  </sheetViews>
  <sheetFormatPr defaultColWidth="11.42578125" defaultRowHeight="15"/>
  <cols>
    <col min="1" max="1" width="36.140625" bestFit="1" customWidth="1"/>
    <col min="2" max="2" width="36.42578125" bestFit="1" customWidth="1"/>
    <col min="3" max="3" width="68.42578125" bestFit="1" customWidth="1"/>
    <col min="4" max="4" width="36.42578125" bestFit="1" customWidth="1"/>
    <col min="5" max="6" width="81.140625" bestFit="1" customWidth="1"/>
    <col min="7" max="7" width="45.42578125" bestFit="1" customWidth="1"/>
    <col min="8" max="8" width="57.28515625" bestFit="1" customWidth="1"/>
    <col min="9" max="9" width="45" bestFit="1" customWidth="1"/>
    <col min="10" max="10" width="37.140625" bestFit="1" customWidth="1"/>
    <col min="11" max="11" width="34" bestFit="1" customWidth="1"/>
    <col min="12" max="12" width="37.42578125" bestFit="1" customWidth="1"/>
    <col min="13" max="13" width="40.5703125" bestFit="1" customWidth="1"/>
    <col min="14" max="14" width="36.85546875" bestFit="1" customWidth="1"/>
    <col min="15" max="15" width="42.42578125" bestFit="1" customWidth="1"/>
    <col min="16" max="16" width="37.85546875" bestFit="1" customWidth="1"/>
    <col min="17" max="17" width="34.140625" bestFit="1" customWidth="1"/>
    <col min="18" max="18" width="55.5703125" bestFit="1" customWidth="1"/>
    <col min="19" max="19" width="56.28515625" bestFit="1" customWidth="1"/>
    <col min="20" max="20" width="53.42578125" bestFit="1" customWidth="1"/>
    <col min="21" max="21" width="50.28515625" bestFit="1" customWidth="1"/>
    <col min="22" max="22" width="60" bestFit="1" customWidth="1"/>
    <col min="23" max="23" width="51.42578125" bestFit="1" customWidth="1"/>
    <col min="24" max="24" width="59.85546875" bestFit="1" customWidth="1"/>
    <col min="25" max="25" width="49.28515625" bestFit="1" customWidth="1"/>
    <col min="26" max="26" width="52.42578125" bestFit="1" customWidth="1"/>
    <col min="27" max="27" width="11.85546875" bestFit="1" customWidth="1"/>
  </cols>
  <sheetData>
    <row r="1" spans="1:27">
      <c r="A1" t="s">
        <v>1930</v>
      </c>
      <c r="B1" t="s">
        <v>1931</v>
      </c>
      <c r="C1" t="s">
        <v>1932</v>
      </c>
      <c r="D1" t="s">
        <v>1933</v>
      </c>
      <c r="E1" t="s">
        <v>1934</v>
      </c>
      <c r="F1" t="s">
        <v>1935</v>
      </c>
      <c r="G1" t="s">
        <v>1936</v>
      </c>
      <c r="H1" t="s">
        <v>1937</v>
      </c>
      <c r="I1" t="s">
        <v>1938</v>
      </c>
      <c r="J1" t="s">
        <v>1939</v>
      </c>
      <c r="K1" t="s">
        <v>1940</v>
      </c>
      <c r="L1" t="s">
        <v>1941</v>
      </c>
      <c r="M1" t="s">
        <v>1942</v>
      </c>
      <c r="N1" t="s">
        <v>1943</v>
      </c>
      <c r="O1" t="s">
        <v>1944</v>
      </c>
      <c r="P1" t="s">
        <v>1945</v>
      </c>
      <c r="Q1" t="s">
        <v>1946</v>
      </c>
      <c r="R1" t="s">
        <v>1947</v>
      </c>
      <c r="S1" t="s">
        <v>1948</v>
      </c>
      <c r="T1" t="s">
        <v>1949</v>
      </c>
      <c r="U1" t="s">
        <v>1950</v>
      </c>
      <c r="V1" t="s">
        <v>1951</v>
      </c>
      <c r="W1" t="s">
        <v>1952</v>
      </c>
      <c r="X1" t="s">
        <v>1953</v>
      </c>
      <c r="Y1" t="s">
        <v>1954</v>
      </c>
      <c r="Z1" t="s">
        <v>1955</v>
      </c>
      <c r="AA1" t="s">
        <v>1956</v>
      </c>
    </row>
    <row r="2" spans="1:27">
      <c r="A2" t="s">
        <v>1957</v>
      </c>
      <c r="B2" t="s">
        <v>1958</v>
      </c>
      <c r="C2" t="s">
        <v>1959</v>
      </c>
      <c r="D2" t="s">
        <v>1960</v>
      </c>
      <c r="E2" t="s">
        <v>1961</v>
      </c>
      <c r="F2" t="s">
        <v>1962</v>
      </c>
      <c r="G2" t="s">
        <v>594</v>
      </c>
      <c r="H2" t="s">
        <v>594</v>
      </c>
      <c r="I2" t="s">
        <v>1534</v>
      </c>
      <c r="J2" s="86">
        <v>45874.660416666666</v>
      </c>
      <c r="K2" s="86">
        <v>45874.490277777775</v>
      </c>
      <c r="L2" t="s">
        <v>598</v>
      </c>
      <c r="M2" t="s">
        <v>598</v>
      </c>
      <c r="N2" t="s">
        <v>619</v>
      </c>
      <c r="O2" t="s">
        <v>600</v>
      </c>
      <c r="R2" t="s">
        <v>600</v>
      </c>
      <c r="S2" t="s">
        <v>600</v>
      </c>
      <c r="Z2" t="s">
        <v>601</v>
      </c>
      <c r="AA2">
        <v>1</v>
      </c>
    </row>
    <row r="3" spans="1:27">
      <c r="A3" t="s">
        <v>1957</v>
      </c>
      <c r="B3" t="s">
        <v>1958</v>
      </c>
      <c r="C3" t="s">
        <v>1959</v>
      </c>
      <c r="D3" t="s">
        <v>1960</v>
      </c>
      <c r="E3" t="s">
        <v>1564</v>
      </c>
      <c r="F3" t="s">
        <v>1563</v>
      </c>
      <c r="G3" t="s">
        <v>594</v>
      </c>
      <c r="H3" t="s">
        <v>594</v>
      </c>
      <c r="I3" t="s">
        <v>1534</v>
      </c>
      <c r="J3" s="86">
        <v>45874.662499999999</v>
      </c>
      <c r="K3" s="86">
        <v>45874.490277777775</v>
      </c>
      <c r="L3" t="s">
        <v>598</v>
      </c>
      <c r="M3" t="s">
        <v>598</v>
      </c>
      <c r="N3" t="s">
        <v>619</v>
      </c>
      <c r="O3" t="s">
        <v>600</v>
      </c>
      <c r="R3" t="s">
        <v>600</v>
      </c>
      <c r="S3" t="s">
        <v>600</v>
      </c>
      <c r="Z3" t="s">
        <v>601</v>
      </c>
      <c r="AA3">
        <v>1</v>
      </c>
    </row>
    <row r="4" spans="1:27">
      <c r="A4" t="s">
        <v>1957</v>
      </c>
      <c r="B4" t="s">
        <v>1958</v>
      </c>
      <c r="C4" t="s">
        <v>1959</v>
      </c>
      <c r="D4" t="s">
        <v>1960</v>
      </c>
      <c r="E4" t="s">
        <v>1574</v>
      </c>
      <c r="F4" t="s">
        <v>1573</v>
      </c>
      <c r="G4" t="s">
        <v>594</v>
      </c>
      <c r="H4" t="s">
        <v>594</v>
      </c>
      <c r="I4" t="s">
        <v>1534</v>
      </c>
      <c r="J4" s="86">
        <v>45874.660416666666</v>
      </c>
      <c r="K4" s="86">
        <v>45874.490277777775</v>
      </c>
      <c r="L4" t="s">
        <v>598</v>
      </c>
      <c r="M4" t="s">
        <v>598</v>
      </c>
      <c r="N4" t="s">
        <v>619</v>
      </c>
      <c r="O4" t="s">
        <v>600</v>
      </c>
      <c r="R4" t="s">
        <v>600</v>
      </c>
      <c r="S4" t="s">
        <v>600</v>
      </c>
      <c r="Z4" t="s">
        <v>601</v>
      </c>
      <c r="AA4">
        <v>1</v>
      </c>
    </row>
    <row r="5" spans="1:27">
      <c r="A5" t="s">
        <v>1957</v>
      </c>
      <c r="B5" t="s">
        <v>1958</v>
      </c>
      <c r="C5" t="s">
        <v>1963</v>
      </c>
      <c r="D5" t="s">
        <v>1964</v>
      </c>
      <c r="E5" t="s">
        <v>1965</v>
      </c>
      <c r="F5" t="s">
        <v>1966</v>
      </c>
      <c r="G5" t="s">
        <v>594</v>
      </c>
      <c r="H5" t="s">
        <v>594</v>
      </c>
      <c r="I5" t="s">
        <v>1534</v>
      </c>
      <c r="J5" s="86">
        <v>45874.661111111112</v>
      </c>
      <c r="K5" s="86">
        <v>45874.490277777775</v>
      </c>
      <c r="L5" t="s">
        <v>598</v>
      </c>
      <c r="M5" t="s">
        <v>598</v>
      </c>
      <c r="N5" t="s">
        <v>619</v>
      </c>
      <c r="O5" t="s">
        <v>600</v>
      </c>
      <c r="R5" t="s">
        <v>600</v>
      </c>
      <c r="S5" t="s">
        <v>600</v>
      </c>
      <c r="Z5" t="s">
        <v>601</v>
      </c>
      <c r="AA5">
        <v>1</v>
      </c>
    </row>
    <row r="6" spans="1:27">
      <c r="A6" t="s">
        <v>1957</v>
      </c>
      <c r="B6" t="s">
        <v>1958</v>
      </c>
      <c r="C6" t="s">
        <v>1963</v>
      </c>
      <c r="D6" t="s">
        <v>1964</v>
      </c>
      <c r="E6" t="s">
        <v>1531</v>
      </c>
      <c r="F6" t="s">
        <v>1530</v>
      </c>
      <c r="G6" t="s">
        <v>594</v>
      </c>
      <c r="H6" t="s">
        <v>594</v>
      </c>
      <c r="I6" t="s">
        <v>1534</v>
      </c>
      <c r="J6" s="86">
        <v>45874.661111111112</v>
      </c>
      <c r="K6" s="86">
        <v>45874.490277777775</v>
      </c>
      <c r="L6" t="s">
        <v>598</v>
      </c>
      <c r="M6" t="s">
        <v>598</v>
      </c>
      <c r="N6" t="s">
        <v>619</v>
      </c>
      <c r="O6" t="s">
        <v>600</v>
      </c>
      <c r="R6" t="s">
        <v>600</v>
      </c>
      <c r="S6" t="s">
        <v>600</v>
      </c>
      <c r="Z6" t="s">
        <v>601</v>
      </c>
      <c r="AA6">
        <v>1</v>
      </c>
    </row>
    <row r="7" spans="1:27">
      <c r="A7" t="s">
        <v>1957</v>
      </c>
      <c r="B7" t="s">
        <v>1958</v>
      </c>
      <c r="C7" t="s">
        <v>1963</v>
      </c>
      <c r="D7" t="s">
        <v>1964</v>
      </c>
      <c r="E7" t="s">
        <v>1967</v>
      </c>
      <c r="F7" t="s">
        <v>1968</v>
      </c>
      <c r="G7" t="s">
        <v>594</v>
      </c>
      <c r="H7" t="s">
        <v>594</v>
      </c>
      <c r="I7" t="s">
        <v>1534</v>
      </c>
      <c r="J7" s="86">
        <v>45874.661805555559</v>
      </c>
      <c r="K7" s="86">
        <v>45874.490277777775</v>
      </c>
      <c r="L7" t="s">
        <v>598</v>
      </c>
      <c r="M7" t="s">
        <v>598</v>
      </c>
      <c r="N7" t="s">
        <v>619</v>
      </c>
      <c r="O7" t="s">
        <v>600</v>
      </c>
      <c r="R7" t="s">
        <v>600</v>
      </c>
      <c r="S7" t="s">
        <v>600</v>
      </c>
      <c r="Z7" t="s">
        <v>601</v>
      </c>
      <c r="AA7">
        <v>1</v>
      </c>
    </row>
    <row r="8" spans="1:27">
      <c r="A8" t="s">
        <v>1957</v>
      </c>
      <c r="B8" t="s">
        <v>1958</v>
      </c>
      <c r="C8" t="s">
        <v>1969</v>
      </c>
      <c r="D8" t="s">
        <v>1970</v>
      </c>
      <c r="E8" t="s">
        <v>1971</v>
      </c>
      <c r="F8" t="s">
        <v>1972</v>
      </c>
      <c r="G8" t="s">
        <v>594</v>
      </c>
      <c r="H8" t="s">
        <v>594</v>
      </c>
      <c r="I8" t="s">
        <v>1534</v>
      </c>
      <c r="J8" s="86">
        <v>45874.661805555559</v>
      </c>
      <c r="K8" s="86">
        <v>45874.490277777775</v>
      </c>
      <c r="L8" t="s">
        <v>598</v>
      </c>
      <c r="M8" t="s">
        <v>598</v>
      </c>
      <c r="N8" t="s">
        <v>619</v>
      </c>
      <c r="O8" t="s">
        <v>600</v>
      </c>
      <c r="R8" t="s">
        <v>600</v>
      </c>
      <c r="S8" t="s">
        <v>600</v>
      </c>
      <c r="Z8" t="s">
        <v>601</v>
      </c>
      <c r="AA8">
        <v>1</v>
      </c>
    </row>
    <row r="9" spans="1:27">
      <c r="A9" t="s">
        <v>1957</v>
      </c>
      <c r="B9" t="s">
        <v>1958</v>
      </c>
      <c r="C9" t="s">
        <v>1969</v>
      </c>
      <c r="D9" t="s">
        <v>1970</v>
      </c>
      <c r="E9" t="s">
        <v>1550</v>
      </c>
      <c r="F9" t="s">
        <v>1549</v>
      </c>
      <c r="G9" t="s">
        <v>594</v>
      </c>
      <c r="H9" t="s">
        <v>594</v>
      </c>
      <c r="I9" t="s">
        <v>1534</v>
      </c>
      <c r="J9" s="86">
        <v>45874.661805555559</v>
      </c>
      <c r="K9" s="86">
        <v>45874.490277777775</v>
      </c>
      <c r="L9" t="s">
        <v>598</v>
      </c>
      <c r="M9" t="s">
        <v>598</v>
      </c>
      <c r="N9" t="s">
        <v>619</v>
      </c>
      <c r="O9" t="s">
        <v>600</v>
      </c>
      <c r="R9" t="s">
        <v>600</v>
      </c>
      <c r="S9" t="s">
        <v>600</v>
      </c>
      <c r="Z9" t="s">
        <v>601</v>
      </c>
      <c r="AA9">
        <v>1</v>
      </c>
    </row>
    <row r="10" spans="1:27">
      <c r="A10" t="s">
        <v>1957</v>
      </c>
      <c r="B10" t="s">
        <v>1958</v>
      </c>
      <c r="C10" t="s">
        <v>1969</v>
      </c>
      <c r="D10" t="s">
        <v>1970</v>
      </c>
      <c r="E10" t="s">
        <v>1973</v>
      </c>
      <c r="F10" t="s">
        <v>1974</v>
      </c>
      <c r="G10" t="s">
        <v>594</v>
      </c>
      <c r="H10" t="s">
        <v>594</v>
      </c>
      <c r="I10" t="s">
        <v>1534</v>
      </c>
      <c r="J10" s="86">
        <v>45874.661805555559</v>
      </c>
      <c r="K10" s="86">
        <v>45874.490277777775</v>
      </c>
      <c r="L10" t="s">
        <v>598</v>
      </c>
      <c r="M10" t="s">
        <v>598</v>
      </c>
      <c r="N10" t="s">
        <v>611</v>
      </c>
      <c r="O10" t="s">
        <v>600</v>
      </c>
      <c r="R10" t="s">
        <v>600</v>
      </c>
      <c r="S10" t="s">
        <v>600</v>
      </c>
      <c r="Z10" t="s">
        <v>601</v>
      </c>
      <c r="AA10">
        <v>1</v>
      </c>
    </row>
    <row r="11" spans="1:27">
      <c r="A11" t="s">
        <v>1957</v>
      </c>
      <c r="B11" t="s">
        <v>1958</v>
      </c>
      <c r="C11" t="s">
        <v>1975</v>
      </c>
      <c r="D11" t="s">
        <v>1976</v>
      </c>
      <c r="E11" t="s">
        <v>1977</v>
      </c>
      <c r="F11" t="s">
        <v>1978</v>
      </c>
      <c r="G11" t="s">
        <v>594</v>
      </c>
      <c r="H11" t="s">
        <v>594</v>
      </c>
      <c r="I11" t="s">
        <v>1534</v>
      </c>
      <c r="J11" s="86">
        <v>45874.662499999999</v>
      </c>
      <c r="K11" s="86">
        <v>45874.490277777775</v>
      </c>
      <c r="L11" t="s">
        <v>598</v>
      </c>
      <c r="M11" t="s">
        <v>598</v>
      </c>
      <c r="N11" t="s">
        <v>619</v>
      </c>
      <c r="O11" t="s">
        <v>600</v>
      </c>
      <c r="R11" t="s">
        <v>600</v>
      </c>
      <c r="S11" t="s">
        <v>600</v>
      </c>
      <c r="Z11" t="s">
        <v>601</v>
      </c>
      <c r="AA11">
        <v>1</v>
      </c>
    </row>
    <row r="12" spans="1:27">
      <c r="A12" t="s">
        <v>1957</v>
      </c>
      <c r="B12" t="s">
        <v>1958</v>
      </c>
      <c r="C12" t="s">
        <v>1975</v>
      </c>
      <c r="D12" t="s">
        <v>1976</v>
      </c>
      <c r="E12" t="s">
        <v>1979</v>
      </c>
      <c r="F12" t="s">
        <v>1980</v>
      </c>
      <c r="G12" t="s">
        <v>594</v>
      </c>
      <c r="H12" t="s">
        <v>594</v>
      </c>
      <c r="I12" t="s">
        <v>1534</v>
      </c>
      <c r="J12" s="86">
        <v>45874.662499999999</v>
      </c>
      <c r="K12" s="86">
        <v>45874.490277777775</v>
      </c>
      <c r="L12" t="s">
        <v>598</v>
      </c>
      <c r="M12" t="s">
        <v>598</v>
      </c>
      <c r="N12" t="s">
        <v>619</v>
      </c>
      <c r="O12" t="s">
        <v>600</v>
      </c>
      <c r="R12" t="s">
        <v>600</v>
      </c>
      <c r="S12" t="s">
        <v>600</v>
      </c>
      <c r="Z12" t="s">
        <v>601</v>
      </c>
      <c r="AA12">
        <v>1</v>
      </c>
    </row>
    <row r="13" spans="1:27">
      <c r="A13" t="s">
        <v>1957</v>
      </c>
      <c r="B13" t="s">
        <v>1958</v>
      </c>
      <c r="C13" t="s">
        <v>1975</v>
      </c>
      <c r="D13" t="s">
        <v>1976</v>
      </c>
      <c r="E13" t="s">
        <v>1981</v>
      </c>
      <c r="F13" t="s">
        <v>1982</v>
      </c>
      <c r="G13" t="s">
        <v>594</v>
      </c>
      <c r="H13" t="s">
        <v>594</v>
      </c>
      <c r="I13" t="s">
        <v>1534</v>
      </c>
      <c r="J13" s="86">
        <v>45874.662499999999</v>
      </c>
      <c r="K13" s="86">
        <v>45874.490277777775</v>
      </c>
      <c r="L13" t="s">
        <v>598</v>
      </c>
      <c r="M13" t="s">
        <v>598</v>
      </c>
      <c r="N13" t="s">
        <v>619</v>
      </c>
      <c r="O13" t="s">
        <v>600</v>
      </c>
      <c r="R13" t="s">
        <v>600</v>
      </c>
      <c r="S13" t="s">
        <v>600</v>
      </c>
      <c r="Z13" t="s">
        <v>601</v>
      </c>
      <c r="AA13">
        <v>1</v>
      </c>
    </row>
    <row r="14" spans="1:27">
      <c r="A14" t="s">
        <v>1957</v>
      </c>
      <c r="B14" t="s">
        <v>1958</v>
      </c>
      <c r="C14" t="s">
        <v>1975</v>
      </c>
      <c r="D14" t="s">
        <v>1976</v>
      </c>
      <c r="E14" t="s">
        <v>1983</v>
      </c>
      <c r="F14" t="s">
        <v>1984</v>
      </c>
      <c r="G14" t="s">
        <v>594</v>
      </c>
      <c r="H14" t="s">
        <v>594</v>
      </c>
      <c r="I14" t="s">
        <v>1534</v>
      </c>
      <c r="J14" s="86">
        <v>45874.662499999999</v>
      </c>
      <c r="K14" s="86">
        <v>45874.490277777775</v>
      </c>
      <c r="L14" t="s">
        <v>598</v>
      </c>
      <c r="M14" t="s">
        <v>598</v>
      </c>
      <c r="N14" t="s">
        <v>619</v>
      </c>
      <c r="O14" t="s">
        <v>600</v>
      </c>
      <c r="R14" t="s">
        <v>600</v>
      </c>
      <c r="S14" t="s">
        <v>600</v>
      </c>
      <c r="Z14" t="s">
        <v>601</v>
      </c>
      <c r="AA14">
        <v>1</v>
      </c>
    </row>
    <row r="15" spans="1:27">
      <c r="A15" t="s">
        <v>1957</v>
      </c>
      <c r="B15" t="s">
        <v>1958</v>
      </c>
      <c r="C15" t="s">
        <v>1985</v>
      </c>
      <c r="D15" t="s">
        <v>1986</v>
      </c>
      <c r="E15" t="s">
        <v>1987</v>
      </c>
      <c r="F15" t="s">
        <v>1988</v>
      </c>
      <c r="G15" t="s">
        <v>594</v>
      </c>
      <c r="H15" t="s">
        <v>594</v>
      </c>
      <c r="I15" t="s">
        <v>1534</v>
      </c>
      <c r="J15" s="86">
        <v>45874.662499999999</v>
      </c>
      <c r="K15" s="86">
        <v>45874.490277777775</v>
      </c>
      <c r="L15" t="s">
        <v>598</v>
      </c>
      <c r="M15" t="s">
        <v>598</v>
      </c>
      <c r="N15" t="s">
        <v>619</v>
      </c>
      <c r="O15" t="s">
        <v>600</v>
      </c>
      <c r="R15" t="s">
        <v>600</v>
      </c>
      <c r="S15" t="s">
        <v>600</v>
      </c>
      <c r="Z15" t="s">
        <v>601</v>
      </c>
      <c r="AA15">
        <v>1</v>
      </c>
    </row>
    <row r="16" spans="1:27">
      <c r="A16" t="s">
        <v>1957</v>
      </c>
      <c r="B16" t="s">
        <v>1958</v>
      </c>
      <c r="C16" t="s">
        <v>1985</v>
      </c>
      <c r="D16" t="s">
        <v>1986</v>
      </c>
      <c r="E16" t="s">
        <v>1989</v>
      </c>
      <c r="F16" t="s">
        <v>1990</v>
      </c>
      <c r="G16" t="s">
        <v>594</v>
      </c>
      <c r="H16" t="s">
        <v>594</v>
      </c>
      <c r="I16" t="s">
        <v>1534</v>
      </c>
      <c r="J16" s="86">
        <v>45874.662499999999</v>
      </c>
      <c r="K16" s="86">
        <v>45874.490277777775</v>
      </c>
      <c r="L16" t="s">
        <v>598</v>
      </c>
      <c r="M16" t="s">
        <v>598</v>
      </c>
      <c r="N16" t="s">
        <v>619</v>
      </c>
      <c r="O16" t="s">
        <v>600</v>
      </c>
      <c r="R16" t="s">
        <v>600</v>
      </c>
      <c r="S16" t="s">
        <v>600</v>
      </c>
      <c r="Z16" t="s">
        <v>601</v>
      </c>
      <c r="AA16">
        <v>1</v>
      </c>
    </row>
    <row r="17" spans="1:27">
      <c r="A17" t="s">
        <v>1991</v>
      </c>
      <c r="B17" t="s">
        <v>1992</v>
      </c>
      <c r="C17" t="s">
        <v>1993</v>
      </c>
      <c r="D17" t="s">
        <v>1994</v>
      </c>
      <c r="E17" t="s">
        <v>1995</v>
      </c>
      <c r="F17" t="s">
        <v>1996</v>
      </c>
      <c r="G17" t="s">
        <v>594</v>
      </c>
      <c r="H17" t="s">
        <v>594</v>
      </c>
      <c r="I17" t="s">
        <v>1534</v>
      </c>
      <c r="J17" s="86">
        <v>45874.661805555559</v>
      </c>
      <c r="K17" s="86">
        <v>45874.490277777775</v>
      </c>
      <c r="L17" t="s">
        <v>598</v>
      </c>
      <c r="M17" t="s">
        <v>598</v>
      </c>
      <c r="N17" t="s">
        <v>672</v>
      </c>
      <c r="O17" t="s">
        <v>600</v>
      </c>
      <c r="R17" t="s">
        <v>600</v>
      </c>
      <c r="S17" t="s">
        <v>600</v>
      </c>
      <c r="Z17" t="s">
        <v>601</v>
      </c>
      <c r="AA17">
        <v>1</v>
      </c>
    </row>
    <row r="18" spans="1:27">
      <c r="A18" t="s">
        <v>1991</v>
      </c>
      <c r="B18" t="s">
        <v>1992</v>
      </c>
      <c r="C18" t="s">
        <v>1993</v>
      </c>
      <c r="D18" t="s">
        <v>1994</v>
      </c>
      <c r="E18" t="s">
        <v>1997</v>
      </c>
      <c r="F18" t="s">
        <v>1998</v>
      </c>
      <c r="G18" t="s">
        <v>594</v>
      </c>
      <c r="H18" t="s">
        <v>594</v>
      </c>
      <c r="I18" t="s">
        <v>1534</v>
      </c>
      <c r="J18" s="86">
        <v>45874.661805555559</v>
      </c>
      <c r="K18" s="86">
        <v>45874.490277777775</v>
      </c>
      <c r="L18" t="s">
        <v>598</v>
      </c>
      <c r="M18" t="s">
        <v>598</v>
      </c>
      <c r="N18" t="s">
        <v>672</v>
      </c>
      <c r="O18" t="s">
        <v>600</v>
      </c>
      <c r="R18" t="s">
        <v>600</v>
      </c>
      <c r="S18" t="s">
        <v>600</v>
      </c>
      <c r="Z18" t="s">
        <v>601</v>
      </c>
      <c r="AA18">
        <v>1</v>
      </c>
    </row>
    <row r="19" spans="1:27">
      <c r="A19" t="s">
        <v>1991</v>
      </c>
      <c r="B19" t="s">
        <v>1992</v>
      </c>
      <c r="C19" t="s">
        <v>1993</v>
      </c>
      <c r="D19" t="s">
        <v>1994</v>
      </c>
      <c r="E19" t="s">
        <v>1999</v>
      </c>
      <c r="F19" t="s">
        <v>2000</v>
      </c>
      <c r="G19" t="s">
        <v>594</v>
      </c>
      <c r="H19" t="s">
        <v>594</v>
      </c>
      <c r="I19" t="s">
        <v>1534</v>
      </c>
      <c r="J19" s="86">
        <v>45874.661805555559</v>
      </c>
      <c r="K19" s="86">
        <v>45874.490277777775</v>
      </c>
      <c r="L19" t="s">
        <v>598</v>
      </c>
      <c r="M19" t="s">
        <v>598</v>
      </c>
      <c r="N19" t="s">
        <v>672</v>
      </c>
      <c r="O19" t="s">
        <v>600</v>
      </c>
      <c r="R19" t="s">
        <v>600</v>
      </c>
      <c r="S19" t="s">
        <v>600</v>
      </c>
      <c r="Z19" t="s">
        <v>601</v>
      </c>
      <c r="AA19">
        <v>1</v>
      </c>
    </row>
    <row r="20" spans="1:27">
      <c r="A20" t="s">
        <v>1991</v>
      </c>
      <c r="B20" t="s">
        <v>1992</v>
      </c>
      <c r="C20" t="s">
        <v>1993</v>
      </c>
      <c r="D20" t="s">
        <v>1994</v>
      </c>
      <c r="E20" t="s">
        <v>2001</v>
      </c>
      <c r="F20" t="s">
        <v>2002</v>
      </c>
      <c r="G20" t="s">
        <v>594</v>
      </c>
      <c r="H20" t="s">
        <v>594</v>
      </c>
      <c r="I20" t="s">
        <v>1534</v>
      </c>
      <c r="J20" s="86">
        <v>45874.661805555559</v>
      </c>
      <c r="K20" s="86">
        <v>45874.490277777775</v>
      </c>
      <c r="L20" t="s">
        <v>598</v>
      </c>
      <c r="M20" t="s">
        <v>598</v>
      </c>
      <c r="N20" t="s">
        <v>672</v>
      </c>
      <c r="O20" t="s">
        <v>600</v>
      </c>
      <c r="R20" t="s">
        <v>600</v>
      </c>
      <c r="S20" t="s">
        <v>600</v>
      </c>
      <c r="Z20" t="s">
        <v>601</v>
      </c>
      <c r="AA20">
        <v>1</v>
      </c>
    </row>
    <row r="21" spans="1:27">
      <c r="A21" t="s">
        <v>1991</v>
      </c>
      <c r="B21" t="s">
        <v>1992</v>
      </c>
      <c r="C21" t="s">
        <v>1993</v>
      </c>
      <c r="D21" t="s">
        <v>1994</v>
      </c>
      <c r="E21" t="s">
        <v>2003</v>
      </c>
      <c r="F21" t="s">
        <v>2004</v>
      </c>
      <c r="G21" t="s">
        <v>594</v>
      </c>
      <c r="H21" t="s">
        <v>594</v>
      </c>
      <c r="I21" t="s">
        <v>1534</v>
      </c>
      <c r="J21" s="86">
        <v>45874.661805555559</v>
      </c>
      <c r="K21" s="86">
        <v>45874.490277777775</v>
      </c>
      <c r="L21" t="s">
        <v>598</v>
      </c>
      <c r="M21" t="s">
        <v>598</v>
      </c>
      <c r="N21" t="s">
        <v>672</v>
      </c>
      <c r="O21" t="s">
        <v>600</v>
      </c>
      <c r="R21" t="s">
        <v>600</v>
      </c>
      <c r="S21" t="s">
        <v>600</v>
      </c>
      <c r="Z21" t="s">
        <v>601</v>
      </c>
      <c r="AA21">
        <v>1</v>
      </c>
    </row>
    <row r="22" spans="1:27">
      <c r="A22" t="s">
        <v>1991</v>
      </c>
      <c r="B22" t="s">
        <v>1992</v>
      </c>
      <c r="C22" t="s">
        <v>1993</v>
      </c>
      <c r="D22" t="s">
        <v>1994</v>
      </c>
      <c r="E22" t="s">
        <v>2005</v>
      </c>
      <c r="F22" t="s">
        <v>2006</v>
      </c>
      <c r="G22" t="s">
        <v>594</v>
      </c>
      <c r="H22" t="s">
        <v>594</v>
      </c>
      <c r="I22" t="s">
        <v>1534</v>
      </c>
      <c r="J22" s="86">
        <v>45874.661805555559</v>
      </c>
      <c r="K22" s="86">
        <v>45874.490277777775</v>
      </c>
      <c r="L22" t="s">
        <v>598</v>
      </c>
      <c r="M22" t="s">
        <v>598</v>
      </c>
      <c r="N22" t="s">
        <v>672</v>
      </c>
      <c r="O22" t="s">
        <v>600</v>
      </c>
      <c r="R22" t="s">
        <v>600</v>
      </c>
      <c r="S22" t="s">
        <v>600</v>
      </c>
      <c r="Z22" t="s">
        <v>601</v>
      </c>
      <c r="AA22">
        <v>1</v>
      </c>
    </row>
    <row r="23" spans="1:27">
      <c r="A23" t="s">
        <v>1991</v>
      </c>
      <c r="B23" t="s">
        <v>1992</v>
      </c>
      <c r="C23" t="s">
        <v>1993</v>
      </c>
      <c r="D23" t="s">
        <v>1994</v>
      </c>
      <c r="E23" t="s">
        <v>2007</v>
      </c>
      <c r="F23" t="s">
        <v>2008</v>
      </c>
      <c r="G23" t="s">
        <v>594</v>
      </c>
      <c r="H23" t="s">
        <v>594</v>
      </c>
      <c r="I23" t="s">
        <v>1534</v>
      </c>
      <c r="J23" s="86">
        <v>45874.661805555559</v>
      </c>
      <c r="K23" s="86">
        <v>45874.490277777775</v>
      </c>
      <c r="L23" t="s">
        <v>598</v>
      </c>
      <c r="M23" t="s">
        <v>598</v>
      </c>
      <c r="N23" t="s">
        <v>672</v>
      </c>
      <c r="O23" t="s">
        <v>600</v>
      </c>
      <c r="R23" t="s">
        <v>600</v>
      </c>
      <c r="S23" t="s">
        <v>600</v>
      </c>
      <c r="Z23" t="s">
        <v>601</v>
      </c>
      <c r="AA23">
        <v>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57D89-844B-4493-8C48-D06C490FAD05}">
  <sheetPr codeName="Sheet16">
    <tabColor rgb="FF064DD9"/>
  </sheetPr>
  <dimension ref="A1:E27"/>
  <sheetViews>
    <sheetView workbookViewId="0">
      <selection sqref="A1:E20"/>
    </sheetView>
  </sheetViews>
  <sheetFormatPr defaultColWidth="8.7109375" defaultRowHeight="15"/>
  <cols>
    <col min="1" max="1" width="8.85546875" bestFit="1" customWidth="1"/>
    <col min="2" max="2" width="54.85546875" bestFit="1" customWidth="1"/>
    <col min="3" max="3" width="48.85546875" bestFit="1" customWidth="1"/>
    <col min="4" max="5" width="81.140625" bestFit="1" customWidth="1"/>
  </cols>
  <sheetData>
    <row r="1" spans="1:5">
      <c r="A1" t="s">
        <v>2009</v>
      </c>
      <c r="B1" t="s">
        <v>2010</v>
      </c>
      <c r="C1" t="s">
        <v>2011</v>
      </c>
      <c r="D1" t="s">
        <v>2012</v>
      </c>
      <c r="E1" t="s">
        <v>2013</v>
      </c>
    </row>
    <row r="2" spans="1:5">
      <c r="B2" t="s">
        <v>2014</v>
      </c>
      <c r="C2" t="s">
        <v>2015</v>
      </c>
      <c r="D2" t="s">
        <v>2016</v>
      </c>
      <c r="E2" t="s">
        <v>2017</v>
      </c>
    </row>
    <row r="3" spans="1:5">
      <c r="B3" t="s">
        <v>2014</v>
      </c>
      <c r="C3" t="s">
        <v>2015</v>
      </c>
      <c r="D3" t="s">
        <v>2018</v>
      </c>
      <c r="E3" t="s">
        <v>2019</v>
      </c>
    </row>
    <row r="4" spans="1:5">
      <c r="B4" t="s">
        <v>2014</v>
      </c>
      <c r="C4" t="s">
        <v>2015</v>
      </c>
      <c r="D4" t="s">
        <v>2020</v>
      </c>
      <c r="E4" t="s">
        <v>2021</v>
      </c>
    </row>
    <row r="5" spans="1:5">
      <c r="B5" t="s">
        <v>2014</v>
      </c>
      <c r="C5" t="s">
        <v>2015</v>
      </c>
      <c r="D5" t="s">
        <v>2022</v>
      </c>
      <c r="E5" t="s">
        <v>2023</v>
      </c>
    </row>
    <row r="6" spans="1:5">
      <c r="B6" t="s">
        <v>2014</v>
      </c>
      <c r="C6" t="s">
        <v>2015</v>
      </c>
      <c r="D6" t="s">
        <v>2024</v>
      </c>
      <c r="E6" t="s">
        <v>2025</v>
      </c>
    </row>
    <row r="7" spans="1:5">
      <c r="B7" t="s">
        <v>2014</v>
      </c>
      <c r="C7" t="s">
        <v>2015</v>
      </c>
      <c r="D7" t="s">
        <v>2026</v>
      </c>
      <c r="E7" t="s">
        <v>2027</v>
      </c>
    </row>
    <row r="8" spans="1:5">
      <c r="B8" t="s">
        <v>2028</v>
      </c>
      <c r="C8" t="s">
        <v>2029</v>
      </c>
      <c r="D8" t="s">
        <v>2030</v>
      </c>
      <c r="E8" t="s">
        <v>2031</v>
      </c>
    </row>
    <row r="9" spans="1:5">
      <c r="B9" t="s">
        <v>2028</v>
      </c>
      <c r="C9" t="s">
        <v>2029</v>
      </c>
      <c r="D9" t="s">
        <v>2032</v>
      </c>
      <c r="E9" t="s">
        <v>2033</v>
      </c>
    </row>
    <row r="10" spans="1:5">
      <c r="B10" t="s">
        <v>2034</v>
      </c>
      <c r="C10" t="s">
        <v>2035</v>
      </c>
      <c r="D10" t="s">
        <v>2036</v>
      </c>
      <c r="E10" t="s">
        <v>2037</v>
      </c>
    </row>
    <row r="11" spans="1:5">
      <c r="B11" t="s">
        <v>2034</v>
      </c>
      <c r="C11" t="s">
        <v>2035</v>
      </c>
      <c r="D11" t="s">
        <v>2038</v>
      </c>
      <c r="E11" t="s">
        <v>2039</v>
      </c>
    </row>
    <row r="12" spans="1:5">
      <c r="B12" t="s">
        <v>2034</v>
      </c>
      <c r="C12" t="s">
        <v>2035</v>
      </c>
      <c r="D12" t="s">
        <v>2040</v>
      </c>
      <c r="E12" t="s">
        <v>2041</v>
      </c>
    </row>
    <row r="13" spans="1:5">
      <c r="B13" t="s">
        <v>2042</v>
      </c>
      <c r="C13" t="s">
        <v>2043</v>
      </c>
      <c r="D13" t="s">
        <v>2044</v>
      </c>
      <c r="E13" t="s">
        <v>2045</v>
      </c>
    </row>
    <row r="14" spans="1:5">
      <c r="B14" t="s">
        <v>2042</v>
      </c>
      <c r="C14" t="s">
        <v>2043</v>
      </c>
      <c r="D14" t="s">
        <v>2046</v>
      </c>
      <c r="E14" t="s">
        <v>2047</v>
      </c>
    </row>
    <row r="15" spans="1:5">
      <c r="B15" t="s">
        <v>2042</v>
      </c>
      <c r="C15" t="s">
        <v>2043</v>
      </c>
      <c r="D15" t="s">
        <v>2048</v>
      </c>
      <c r="E15" t="s">
        <v>2049</v>
      </c>
    </row>
    <row r="16" spans="1:5">
      <c r="B16" t="s">
        <v>2042</v>
      </c>
      <c r="C16" t="s">
        <v>2043</v>
      </c>
      <c r="D16" t="s">
        <v>2050</v>
      </c>
      <c r="E16" t="s">
        <v>2051</v>
      </c>
    </row>
    <row r="17" spans="2:5">
      <c r="B17" t="s">
        <v>2052</v>
      </c>
      <c r="C17" t="s">
        <v>2053</v>
      </c>
      <c r="D17" t="s">
        <v>2054</v>
      </c>
      <c r="E17" t="s">
        <v>2055</v>
      </c>
    </row>
    <row r="18" spans="2:5">
      <c r="B18" t="s">
        <v>2052</v>
      </c>
      <c r="C18" t="s">
        <v>2053</v>
      </c>
      <c r="D18" t="s">
        <v>2056</v>
      </c>
      <c r="E18" t="s">
        <v>2057</v>
      </c>
    </row>
    <row r="19" spans="2:5">
      <c r="B19" t="s">
        <v>2052</v>
      </c>
      <c r="C19" t="s">
        <v>2053</v>
      </c>
      <c r="D19" t="s">
        <v>2058</v>
      </c>
      <c r="E19" t="s">
        <v>2059</v>
      </c>
    </row>
    <row r="20" spans="2:5">
      <c r="B20" t="s">
        <v>2052</v>
      </c>
      <c r="C20" t="s">
        <v>2053</v>
      </c>
      <c r="D20" t="s">
        <v>2060</v>
      </c>
      <c r="E20" t="s">
        <v>2061</v>
      </c>
    </row>
    <row r="21" spans="2:5">
      <c r="B21" t="s">
        <v>2062</v>
      </c>
      <c r="C21" t="s">
        <v>2063</v>
      </c>
      <c r="D21" t="s">
        <v>2064</v>
      </c>
      <c r="E21" t="s">
        <v>2065</v>
      </c>
    </row>
    <row r="22" spans="2:5">
      <c r="B22" t="s">
        <v>2066</v>
      </c>
      <c r="C22" t="s">
        <v>2067</v>
      </c>
      <c r="D22" t="s">
        <v>2068</v>
      </c>
      <c r="E22" t="s">
        <v>2069</v>
      </c>
    </row>
    <row r="23" spans="2:5">
      <c r="B23" t="s">
        <v>2070</v>
      </c>
      <c r="C23" t="s">
        <v>2071</v>
      </c>
      <c r="D23" t="s">
        <v>2072</v>
      </c>
      <c r="E23" t="s">
        <v>2073</v>
      </c>
    </row>
    <row r="24" spans="2:5">
      <c r="B24" t="s">
        <v>2074</v>
      </c>
      <c r="C24" t="s">
        <v>2075</v>
      </c>
      <c r="D24" t="s">
        <v>2076</v>
      </c>
      <c r="E24" t="s">
        <v>2077</v>
      </c>
    </row>
    <row r="25" spans="2:5">
      <c r="B25" t="s">
        <v>2078</v>
      </c>
      <c r="C25" t="s">
        <v>2079</v>
      </c>
      <c r="D25" t="s">
        <v>2080</v>
      </c>
      <c r="E25" t="s">
        <v>2081</v>
      </c>
    </row>
    <row r="26" spans="2:5">
      <c r="B26" t="s">
        <v>2082</v>
      </c>
      <c r="C26" t="s">
        <v>2083</v>
      </c>
      <c r="D26" t="s">
        <v>2084</v>
      </c>
      <c r="E26" t="s">
        <v>2085</v>
      </c>
    </row>
    <row r="27" spans="2:5">
      <c r="B27" t="s">
        <v>2086</v>
      </c>
      <c r="C27" t="s">
        <v>2087</v>
      </c>
      <c r="D27" t="s">
        <v>2088</v>
      </c>
      <c r="E27" t="s">
        <v>2089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5BF7A-EDB6-47FF-9883-C38812868086}">
  <sheetPr codeName="Sheet6"/>
  <dimension ref="A1:D27"/>
  <sheetViews>
    <sheetView workbookViewId="0"/>
  </sheetViews>
  <sheetFormatPr defaultColWidth="8.85546875" defaultRowHeight="15"/>
  <cols>
    <col min="1" max="1" width="22.7109375" customWidth="1"/>
    <col min="2" max="2" width="53.28515625" customWidth="1"/>
    <col min="4" max="4" width="35.28515625" customWidth="1"/>
  </cols>
  <sheetData>
    <row r="1" spans="1:4" ht="22.5">
      <c r="A1" s="94" t="s">
        <v>2090</v>
      </c>
      <c r="B1" s="94" t="s">
        <v>2091</v>
      </c>
      <c r="C1" s="94" t="s">
        <v>2092</v>
      </c>
      <c r="D1" s="94" t="s">
        <v>2093</v>
      </c>
    </row>
    <row r="2" spans="1:4" ht="89.25" customHeight="1">
      <c r="A2" s="93" t="s">
        <v>2094</v>
      </c>
      <c r="B2" s="95" t="s">
        <v>2095</v>
      </c>
      <c r="C2" s="95" t="str">
        <f>Safeguards!$G$125</f>
        <v>Oui</v>
      </c>
      <c r="D2" s="95">
        <f>Safeguards!$H$125</f>
        <v>0</v>
      </c>
    </row>
    <row r="3" spans="1:4" ht="70.5" customHeight="1">
      <c r="A3" s="93" t="s">
        <v>2096</v>
      </c>
      <c r="B3" s="235" t="s">
        <v>2097</v>
      </c>
      <c r="C3" s="95" t="str">
        <f>Safeguards!$G$115</f>
        <v>Oui</v>
      </c>
      <c r="D3" s="95" t="str">
        <f>Safeguards!$H$115</f>
        <v>* Formations Workday
* Workday training</v>
      </c>
    </row>
    <row r="4" spans="1:4" ht="81.75" customHeight="1">
      <c r="A4" s="93" t="s">
        <v>2098</v>
      </c>
      <c r="B4" s="235"/>
      <c r="C4" s="95" t="str">
        <f>Safeguards!$G$112</f>
        <v>Oui</v>
      </c>
      <c r="D4" s="93" t="str">
        <f>Safeguards!$H$112</f>
        <v>* Formations Workday
* Workday training</v>
      </c>
    </row>
    <row r="5" spans="1:4" ht="90">
      <c r="A5" s="93" t="s">
        <v>2099</v>
      </c>
      <c r="B5" s="95" t="s">
        <v>2100</v>
      </c>
      <c r="C5" s="105" t="str">
        <f>Safeguards!$G$108</f>
        <v>N/A</v>
      </c>
      <c r="D5" s="93">
        <f>Safeguards!$H$108</f>
        <v>0</v>
      </c>
    </row>
    <row r="6" spans="1:4" ht="101.25">
      <c r="A6" s="93" t="s">
        <v>2101</v>
      </c>
      <c r="B6" s="95" t="s">
        <v>2102</v>
      </c>
      <c r="C6" s="93" t="str" cm="1">
        <f t="array" aca="1" ref="C6" ca="1">YES</f>
        <v>Oui</v>
      </c>
      <c r="D6" s="93" t="s">
        <v>2103</v>
      </c>
    </row>
    <row r="7" spans="1:4" ht="60" customHeight="1">
      <c r="A7" s="93" t="s">
        <v>2104</v>
      </c>
      <c r="B7" s="235" t="s">
        <v>2105</v>
      </c>
      <c r="C7" s="93" t="str">
        <f>Safeguards!$G$146</f>
        <v>Oui</v>
      </c>
      <c r="D7" s="93">
        <f>Safeguards!$H$146</f>
        <v>0</v>
      </c>
    </row>
    <row r="8" spans="1:4" ht="91.5" customHeight="1">
      <c r="A8" s="93" t="s">
        <v>2106</v>
      </c>
      <c r="B8" s="235"/>
      <c r="C8" s="93" t="str">
        <f>Safeguards!$G$148</f>
        <v>Oui</v>
      </c>
      <c r="D8" s="93">
        <f>Safeguards!$H$148</f>
        <v>0</v>
      </c>
    </row>
    <row r="9" spans="1:4" ht="69" customHeight="1">
      <c r="A9" s="93" t="s">
        <v>2107</v>
      </c>
      <c r="B9" s="235" t="s">
        <v>2108</v>
      </c>
      <c r="C9" s="93" t="str">
        <f>Safeguards!$G$55</f>
        <v>Oui</v>
      </c>
      <c r="D9" s="93" t="str">
        <f>Safeguards!$H$55</f>
        <v>* L'équipe de gestion de vulnérabilité est responsable du processus
* Vulnerability Management team is responsible of the process</v>
      </c>
    </row>
    <row r="10" spans="1:4" ht="87.75" customHeight="1">
      <c r="A10" s="93" t="s">
        <v>2109</v>
      </c>
      <c r="B10" s="235"/>
      <c r="C10" s="93" t="str">
        <f>Safeguards!$G$61</f>
        <v>Non</v>
      </c>
      <c r="D10" s="93" t="str">
        <f>Safeguards!$H$61</f>
        <v>* Les vulnérabilités sont corrigés avant les déploiement seulement
* Vulnerabilities are fixed prior to deployment only</v>
      </c>
    </row>
    <row r="11" spans="1:4" ht="59.25" customHeight="1">
      <c r="A11" s="93" t="s">
        <v>2110</v>
      </c>
      <c r="B11" s="235" t="s">
        <v>2111</v>
      </c>
      <c r="C11" s="93" t="s">
        <v>107</v>
      </c>
      <c r="D11" s="93" t="s">
        <v>2112</v>
      </c>
    </row>
    <row r="12" spans="1:4" ht="73.5" customHeight="1">
      <c r="A12" s="93" t="s">
        <v>2113</v>
      </c>
      <c r="B12" s="235"/>
      <c r="C12" s="93" t="s">
        <v>107</v>
      </c>
      <c r="D12" s="93" t="s">
        <v>2112</v>
      </c>
    </row>
    <row r="13" spans="1:4" ht="146.25">
      <c r="A13" s="93" t="s">
        <v>2114</v>
      </c>
      <c r="B13" s="95" t="s">
        <v>2115</v>
      </c>
      <c r="C13" s="93" t="str">
        <f>Safeguards!$G$105</f>
        <v>Oui</v>
      </c>
      <c r="D13" s="93">
        <f>Safeguards!$H$105</f>
        <v>0</v>
      </c>
    </row>
    <row r="14" spans="1:4" ht="73.5" customHeight="1">
      <c r="A14" s="93" t="s">
        <v>2116</v>
      </c>
      <c r="B14" s="235" t="s">
        <v>2117</v>
      </c>
      <c r="C14" s="93" t="str">
        <f>Safeguards!$G$128</f>
        <v>Oui</v>
      </c>
      <c r="D14" s="93">
        <f>Safeguards!$H$128</f>
        <v>0</v>
      </c>
    </row>
    <row r="15" spans="1:4" ht="74.25" customHeight="1">
      <c r="A15" s="93" t="s">
        <v>2118</v>
      </c>
      <c r="B15" s="235"/>
      <c r="C15" s="93" t="str">
        <f>Safeguards!$G$139</f>
        <v>Oui</v>
      </c>
      <c r="D15" s="93">
        <f>Safeguards!$H$139</f>
        <v>0</v>
      </c>
    </row>
    <row r="16" spans="1:4" ht="67.5">
      <c r="A16" s="102" t="s">
        <v>2119</v>
      </c>
      <c r="B16" s="96" t="s">
        <v>2120</v>
      </c>
      <c r="C16" s="95" t="str">
        <f>Safeguards!$G$46</f>
        <v>Oui</v>
      </c>
      <c r="D16" s="95" t="str">
        <f>Safeguards!$H$46</f>
        <v>* Si uniquement EntraID et Okta, oui; Si compte local, non; Si MongoDB, non
* If only EntraID and Okta, yes; If local account, no; If MongoDB, no</v>
      </c>
    </row>
    <row r="17" spans="1:4" ht="87" customHeight="1">
      <c r="A17" s="102" t="s">
        <v>2121</v>
      </c>
      <c r="B17" s="96" t="s">
        <v>2122</v>
      </c>
      <c r="C17" s="95" t="str">
        <f>Safeguards!$G$51</f>
        <v>oui</v>
      </c>
      <c r="D17" s="95" t="str">
        <f>Safeguards!$H$51</f>
        <v>* Valider si un administrateur peut accéder à la solution à partir d'internet
* Validate if an admin can access the solution from internet</v>
      </c>
    </row>
    <row r="18" spans="1:4" ht="69" customHeight="1">
      <c r="A18" s="102" t="s">
        <v>2123</v>
      </c>
      <c r="B18" s="96" t="s">
        <v>2124</v>
      </c>
      <c r="C18" s="95" t="str">
        <f>Safeguards!$G$49</f>
        <v>Oui</v>
      </c>
      <c r="D18" s="95" t="str">
        <f>Safeguards!$H$49</f>
        <v>* Si uniquement EntraID, oui; Si Okta, non; Si compte local, à valider
* If only EntraID, yes; If Okta, no; If local account, to review
* Global Protect required MFA
* DaaS required MFA</v>
      </c>
    </row>
    <row r="19" spans="1:4" ht="78.75">
      <c r="A19" s="93" t="s">
        <v>2125</v>
      </c>
      <c r="B19" s="95" t="s">
        <v>2126</v>
      </c>
      <c r="C19" s="93" t="str">
        <f>Safeguards!$G$41</f>
        <v>Oui</v>
      </c>
      <c r="D19" s="93">
        <f>Safeguards!$H$41</f>
        <v>0</v>
      </c>
    </row>
    <row r="20" spans="1:4" ht="56.25" customHeight="1">
      <c r="A20" s="93" t="s">
        <v>2127</v>
      </c>
      <c r="B20" s="235" t="s">
        <v>2128</v>
      </c>
      <c r="C20" s="93" t="str">
        <f>Safeguards!$G$54</f>
        <v>oui</v>
      </c>
      <c r="D20" s="93" t="str">
        <f>Safeguards!$H$54</f>
        <v>*Le processus existe, il est documenté mais il n'est pas publié.
*The process exists, it is documented, but it is not published.</v>
      </c>
    </row>
    <row r="21" spans="1:4" ht="22.5">
      <c r="A21" s="93" t="s">
        <v>2129</v>
      </c>
      <c r="B21" s="235"/>
      <c r="C21" s="93" t="str">
        <f>Safeguards!$G$44</f>
        <v>oui</v>
      </c>
      <c r="D21" s="93" t="str">
        <f>Safeguards!$H$44</f>
        <v>* Le PIM/PAM est utilisé pour les accès administrateur
* PIM and PAM is used for administrative access</v>
      </c>
    </row>
    <row r="22" spans="1:4" ht="45">
      <c r="A22" s="93" t="s">
        <v>2130</v>
      </c>
      <c r="B22" s="96" t="s">
        <v>2131</v>
      </c>
      <c r="C22" s="93" t="str">
        <f>Safeguards!$G$25</f>
        <v>Oui</v>
      </c>
      <c r="D22" s="93">
        <f>Safeguards!$H$25</f>
        <v>0</v>
      </c>
    </row>
    <row r="23" spans="1:4" ht="56.25">
      <c r="A23" s="93" t="s">
        <v>2132</v>
      </c>
      <c r="B23" s="96" t="s">
        <v>2133</v>
      </c>
      <c r="C23" s="93" t="str">
        <f>Safeguards!$G$24</f>
        <v>Non</v>
      </c>
      <c r="D23" s="93">
        <f>Safeguards!$H$24</f>
        <v>0</v>
      </c>
    </row>
    <row r="24" spans="1:4" ht="90">
      <c r="A24" s="93" t="s">
        <v>2134</v>
      </c>
      <c r="B24" s="95" t="s">
        <v>2135</v>
      </c>
      <c r="C24" s="93" t="str">
        <f>Safeguards!$G$81</f>
        <v>oui</v>
      </c>
      <c r="D24" s="93" t="str">
        <f>Safeguards!$H$81</f>
        <v>* Microsoft Defender est déployé
* Microsoft Defender is deployed</v>
      </c>
    </row>
    <row r="25" spans="1:4" ht="45">
      <c r="A25" s="93" t="s">
        <v>2136</v>
      </c>
      <c r="B25" s="95" t="s">
        <v>2137</v>
      </c>
      <c r="C25" s="93" t="str">
        <f>Safeguards!$G$94</f>
        <v>oui</v>
      </c>
      <c r="D25" s="93">
        <f>Safeguards!$H$94</f>
        <v>0</v>
      </c>
    </row>
    <row r="26" spans="1:4" ht="67.5">
      <c r="A26" s="93" t="s">
        <v>2138</v>
      </c>
      <c r="B26" s="95" t="s">
        <v>2139</v>
      </c>
      <c r="C26" s="93" t="str">
        <f>Safeguards!$G$101</f>
        <v>Non</v>
      </c>
      <c r="D26" s="93">
        <f>Safeguards!$H$101</f>
        <v>0</v>
      </c>
    </row>
    <row r="27" spans="1:4" ht="67.5">
      <c r="A27" s="93" t="s">
        <v>2140</v>
      </c>
      <c r="B27" s="95" t="s">
        <v>2141</v>
      </c>
      <c r="C27" s="93" t="str">
        <f>Safeguards!$G$89</f>
        <v>Oui</v>
      </c>
      <c r="D27" s="93" t="str">
        <f>Safeguards!$H$89</f>
        <v>Si dans ComVault, oui; Sinon valider
If in ComVault, yes ; Otherwise, validate</v>
      </c>
    </row>
  </sheetData>
  <mergeCells count="6">
    <mergeCell ref="B20:B21"/>
    <mergeCell ref="B3:B4"/>
    <mergeCell ref="B7:B8"/>
    <mergeCell ref="B9:B10"/>
    <mergeCell ref="B11:B12"/>
    <mergeCell ref="B14:B15"/>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70651-C84E-4949-995B-E502A14DA86F}">
  <sheetPr codeName="Feuil6"/>
  <dimension ref="A1:K275"/>
  <sheetViews>
    <sheetView zoomScale="70" zoomScaleNormal="70" workbookViewId="0"/>
  </sheetViews>
  <sheetFormatPr defaultColWidth="11.42578125" defaultRowHeight="15"/>
  <cols>
    <col min="1" max="1" width="11.85546875" bestFit="1" customWidth="1"/>
    <col min="2" max="2" width="11.140625" bestFit="1" customWidth="1"/>
    <col min="3" max="3" width="9" bestFit="1" customWidth="1"/>
    <col min="4" max="4" width="37.5703125" bestFit="1" customWidth="1"/>
    <col min="5" max="5" width="152.140625" bestFit="1" customWidth="1"/>
    <col min="6" max="6" width="11.85546875" bestFit="1" customWidth="1"/>
    <col min="7" max="7" width="35.85546875" bestFit="1" customWidth="1"/>
    <col min="8" max="8" width="19.42578125" bestFit="1" customWidth="1"/>
    <col min="9" max="9" width="96.42578125" bestFit="1" customWidth="1"/>
    <col min="10" max="10" width="10.140625" bestFit="1" customWidth="1"/>
    <col min="11" max="11" width="13" bestFit="1" customWidth="1"/>
  </cols>
  <sheetData>
    <row r="1" spans="1:11" ht="60">
      <c r="A1" s="84" t="s">
        <v>2142</v>
      </c>
      <c r="B1" s="84" t="s">
        <v>2143</v>
      </c>
      <c r="C1" s="84" t="s">
        <v>2144</v>
      </c>
      <c r="D1" s="84" t="s">
        <v>2145</v>
      </c>
      <c r="E1" s="84" t="s">
        <v>2146</v>
      </c>
      <c r="F1" s="69" t="s">
        <v>2147</v>
      </c>
      <c r="G1" s="84" t="s">
        <v>2148</v>
      </c>
      <c r="H1" s="85" t="s">
        <v>2149</v>
      </c>
      <c r="I1" s="85" t="s">
        <v>2150</v>
      </c>
      <c r="J1" s="84" t="s">
        <v>2151</v>
      </c>
      <c r="K1" s="84" t="s">
        <v>2152</v>
      </c>
    </row>
    <row r="2" spans="1:11">
      <c r="A2" s="83">
        <v>1</v>
      </c>
      <c r="B2" s="73" t="s">
        <v>391</v>
      </c>
      <c r="C2" s="73"/>
      <c r="D2" s="73" t="s">
        <v>2153</v>
      </c>
      <c r="E2" s="74" t="s">
        <v>2154</v>
      </c>
      <c r="F2" s="89"/>
      <c r="G2" s="73" t="s">
        <v>107</v>
      </c>
      <c r="H2" s="73"/>
      <c r="I2" s="73"/>
      <c r="J2" s="73"/>
      <c r="K2" s="73" t="s">
        <v>2155</v>
      </c>
    </row>
    <row r="3" spans="1:11" ht="135">
      <c r="A3" s="83">
        <v>1</v>
      </c>
      <c r="B3" s="73" t="s">
        <v>0</v>
      </c>
      <c r="C3" s="73"/>
      <c r="D3" s="73" t="s">
        <v>2156</v>
      </c>
      <c r="E3" s="74" t="s">
        <v>2157</v>
      </c>
      <c r="F3" s="74" t="s">
        <v>2158</v>
      </c>
      <c r="G3" s="73" t="s">
        <v>107</v>
      </c>
      <c r="H3" s="73"/>
      <c r="I3" s="75"/>
      <c r="J3" s="73"/>
      <c r="K3" s="73" t="s">
        <v>2155</v>
      </c>
    </row>
    <row r="4" spans="1:11">
      <c r="A4" s="83">
        <v>2</v>
      </c>
      <c r="B4" s="73" t="s">
        <v>391</v>
      </c>
      <c r="C4" s="73"/>
      <c r="D4" s="73" t="s">
        <v>2153</v>
      </c>
      <c r="E4" s="74" t="s">
        <v>2159</v>
      </c>
      <c r="F4" s="74"/>
      <c r="G4" s="73" t="s">
        <v>107</v>
      </c>
      <c r="H4" s="73"/>
      <c r="I4" s="73"/>
      <c r="J4" s="73"/>
      <c r="K4" s="73" t="s">
        <v>2160</v>
      </c>
    </row>
    <row r="5" spans="1:11">
      <c r="A5" s="83">
        <v>2</v>
      </c>
      <c r="B5" s="73" t="s">
        <v>0</v>
      </c>
      <c r="C5" s="73"/>
      <c r="D5" s="73" t="s">
        <v>2156</v>
      </c>
      <c r="E5" s="74" t="s">
        <v>2161</v>
      </c>
      <c r="F5" s="74"/>
      <c r="G5" s="73" t="s">
        <v>107</v>
      </c>
      <c r="H5" s="73"/>
      <c r="I5" s="73"/>
      <c r="J5" s="73"/>
      <c r="K5" s="73" t="s">
        <v>2160</v>
      </c>
    </row>
    <row r="6" spans="1:11">
      <c r="A6" s="83">
        <v>3</v>
      </c>
      <c r="B6" s="73" t="s">
        <v>391</v>
      </c>
      <c r="C6" s="73"/>
      <c r="D6" s="73" t="s">
        <v>2153</v>
      </c>
      <c r="E6" s="74" t="s">
        <v>2162</v>
      </c>
      <c r="F6" s="74"/>
      <c r="G6" s="73" t="s">
        <v>107</v>
      </c>
      <c r="H6" s="73"/>
      <c r="I6" s="73"/>
      <c r="J6" s="73"/>
      <c r="K6" s="73" t="s">
        <v>2163</v>
      </c>
    </row>
    <row r="7" spans="1:11">
      <c r="A7" s="83">
        <v>3</v>
      </c>
      <c r="B7" s="73" t="s">
        <v>0</v>
      </c>
      <c r="C7" s="73"/>
      <c r="D7" s="73" t="s">
        <v>2156</v>
      </c>
      <c r="E7" s="74" t="s">
        <v>2164</v>
      </c>
      <c r="F7" s="74"/>
      <c r="G7" s="73" t="s">
        <v>107</v>
      </c>
      <c r="H7" s="73"/>
      <c r="I7" s="73"/>
      <c r="J7" s="73"/>
      <c r="K7" s="73" t="s">
        <v>2163</v>
      </c>
    </row>
    <row r="8" spans="1:11">
      <c r="A8" s="82">
        <v>4</v>
      </c>
      <c r="B8" s="71" t="s">
        <v>0</v>
      </c>
      <c r="C8" s="71"/>
      <c r="D8" s="71" t="s">
        <v>2165</v>
      </c>
      <c r="E8" s="72" t="s">
        <v>2166</v>
      </c>
      <c r="F8" s="72"/>
      <c r="G8" s="71" t="s">
        <v>107</v>
      </c>
      <c r="H8" s="71"/>
      <c r="I8" s="71"/>
      <c r="J8" s="71"/>
      <c r="K8" s="76" t="s">
        <v>2167</v>
      </c>
    </row>
    <row r="9" spans="1:11">
      <c r="A9" s="83">
        <v>4</v>
      </c>
      <c r="B9" s="73" t="s">
        <v>391</v>
      </c>
      <c r="C9" s="73"/>
      <c r="D9" s="73" t="s">
        <v>2168</v>
      </c>
      <c r="E9" s="74" t="s">
        <v>2169</v>
      </c>
      <c r="F9" s="74"/>
      <c r="G9" s="73" t="s">
        <v>107</v>
      </c>
      <c r="H9" s="73" t="s">
        <v>539</v>
      </c>
      <c r="I9" s="73"/>
      <c r="J9" s="73"/>
      <c r="K9" s="90" t="s">
        <v>2167</v>
      </c>
    </row>
    <row r="10" spans="1:11">
      <c r="A10" s="82">
        <v>5</v>
      </c>
      <c r="B10" s="71" t="s">
        <v>0</v>
      </c>
      <c r="C10" s="71"/>
      <c r="D10" s="71" t="s">
        <v>2165</v>
      </c>
      <c r="E10" s="72" t="s">
        <v>2170</v>
      </c>
      <c r="F10" s="72"/>
      <c r="G10" s="71" t="s">
        <v>107</v>
      </c>
      <c r="H10" s="71"/>
      <c r="I10" s="71"/>
      <c r="J10" s="71"/>
      <c r="K10" s="71" t="s">
        <v>2171</v>
      </c>
    </row>
    <row r="11" spans="1:11">
      <c r="A11" s="83">
        <v>5</v>
      </c>
      <c r="B11" s="73" t="s">
        <v>391</v>
      </c>
      <c r="C11" s="73"/>
      <c r="D11" s="73" t="s">
        <v>2168</v>
      </c>
      <c r="E11" s="74" t="s">
        <v>2172</v>
      </c>
      <c r="F11" s="74"/>
      <c r="G11" s="73" t="s">
        <v>107</v>
      </c>
      <c r="H11" s="73"/>
      <c r="I11" s="73"/>
      <c r="J11" s="73"/>
      <c r="K11" s="73" t="s">
        <v>2171</v>
      </c>
    </row>
    <row r="12" spans="1:11">
      <c r="A12" s="83">
        <v>6</v>
      </c>
      <c r="B12" s="73" t="s">
        <v>391</v>
      </c>
      <c r="C12" s="73"/>
      <c r="D12" s="73" t="s">
        <v>2173</v>
      </c>
      <c r="E12" s="74" t="s">
        <v>2174</v>
      </c>
      <c r="F12" s="74"/>
      <c r="G12" s="73" t="s">
        <v>107</v>
      </c>
      <c r="H12" s="73"/>
      <c r="I12" s="73"/>
      <c r="J12" s="73"/>
      <c r="K12" s="73" t="s">
        <v>2175</v>
      </c>
    </row>
    <row r="13" spans="1:11">
      <c r="A13" s="83">
        <v>6</v>
      </c>
      <c r="B13" s="73" t="s">
        <v>0</v>
      </c>
      <c r="C13" s="73"/>
      <c r="D13" s="73" t="s">
        <v>2176</v>
      </c>
      <c r="E13" s="74" t="s">
        <v>2177</v>
      </c>
      <c r="F13" s="74"/>
      <c r="G13" s="73" t="s">
        <v>107</v>
      </c>
      <c r="H13" s="73"/>
      <c r="I13" s="73"/>
      <c r="J13" s="73"/>
      <c r="K13" s="77" t="s">
        <v>2175</v>
      </c>
    </row>
    <row r="14" spans="1:11" ht="60">
      <c r="A14" s="83">
        <v>7</v>
      </c>
      <c r="B14" s="73" t="s">
        <v>391</v>
      </c>
      <c r="C14" s="73"/>
      <c r="D14" s="73" t="s">
        <v>2173</v>
      </c>
      <c r="E14" s="74" t="s">
        <v>2178</v>
      </c>
      <c r="F14" s="74"/>
      <c r="G14" s="73" t="s">
        <v>107</v>
      </c>
      <c r="H14" s="73"/>
      <c r="I14" s="73"/>
      <c r="J14" s="73"/>
      <c r="K14" s="73" t="s">
        <v>2179</v>
      </c>
    </row>
    <row r="15" spans="1:11" ht="60">
      <c r="A15" s="83">
        <v>7</v>
      </c>
      <c r="B15" s="73" t="s">
        <v>0</v>
      </c>
      <c r="C15" s="73"/>
      <c r="D15" s="73" t="s">
        <v>2176</v>
      </c>
      <c r="E15" s="74" t="s">
        <v>2180</v>
      </c>
      <c r="F15" s="74"/>
      <c r="G15" s="73" t="s">
        <v>107</v>
      </c>
      <c r="H15" s="73"/>
      <c r="I15" s="73"/>
      <c r="J15" s="73"/>
      <c r="K15" s="73" t="s">
        <v>2179</v>
      </c>
    </row>
    <row r="16" spans="1:11">
      <c r="A16" s="83">
        <v>8</v>
      </c>
      <c r="B16" s="73" t="s">
        <v>391</v>
      </c>
      <c r="C16" s="73"/>
      <c r="D16" s="73" t="s">
        <v>2173</v>
      </c>
      <c r="E16" s="74" t="s">
        <v>2181</v>
      </c>
      <c r="F16" s="74"/>
      <c r="G16" s="73" t="s">
        <v>107</v>
      </c>
      <c r="H16" s="73"/>
      <c r="I16" s="73"/>
      <c r="J16" s="73"/>
      <c r="K16" s="73" t="s">
        <v>2182</v>
      </c>
    </row>
    <row r="17" spans="1:11">
      <c r="A17" s="83">
        <v>8</v>
      </c>
      <c r="B17" s="73" t="s">
        <v>0</v>
      </c>
      <c r="C17" s="73"/>
      <c r="D17" s="73" t="s">
        <v>2176</v>
      </c>
      <c r="E17" s="74" t="s">
        <v>2183</v>
      </c>
      <c r="F17" s="74"/>
      <c r="G17" s="73" t="s">
        <v>107</v>
      </c>
      <c r="H17" s="73"/>
      <c r="I17" s="73"/>
      <c r="J17" s="73"/>
      <c r="K17" s="78" t="s">
        <v>2182</v>
      </c>
    </row>
    <row r="18" spans="1:11">
      <c r="A18" s="83">
        <v>9</v>
      </c>
      <c r="B18" s="73" t="s">
        <v>391</v>
      </c>
      <c r="C18" s="73"/>
      <c r="D18" s="73" t="s">
        <v>2173</v>
      </c>
      <c r="E18" s="74" t="s">
        <v>2184</v>
      </c>
      <c r="F18" s="74"/>
      <c r="G18" s="73" t="s">
        <v>107</v>
      </c>
      <c r="H18" s="73"/>
      <c r="I18" s="73"/>
      <c r="J18" s="73"/>
      <c r="K18" s="73" t="s">
        <v>2179</v>
      </c>
    </row>
    <row r="19" spans="1:11">
      <c r="A19" s="83">
        <v>9</v>
      </c>
      <c r="B19" s="73" t="s">
        <v>0</v>
      </c>
      <c r="C19" s="73"/>
      <c r="D19" s="73" t="s">
        <v>2176</v>
      </c>
      <c r="E19" s="74" t="s">
        <v>2185</v>
      </c>
      <c r="F19" s="74"/>
      <c r="G19" s="73" t="s">
        <v>107</v>
      </c>
      <c r="H19" s="73"/>
      <c r="I19" s="73"/>
      <c r="J19" s="73"/>
      <c r="K19" s="73" t="s">
        <v>2179</v>
      </c>
    </row>
    <row r="20" spans="1:11">
      <c r="A20" s="83">
        <v>10</v>
      </c>
      <c r="B20" s="73" t="s">
        <v>391</v>
      </c>
      <c r="C20" s="73"/>
      <c r="D20" s="73" t="s">
        <v>2173</v>
      </c>
      <c r="E20" s="74" t="s">
        <v>2186</v>
      </c>
      <c r="F20" s="74"/>
      <c r="G20" s="73" t="s">
        <v>2187</v>
      </c>
      <c r="H20" s="73"/>
      <c r="I20" s="73"/>
      <c r="J20" s="73"/>
      <c r="K20" s="73" t="s">
        <v>2188</v>
      </c>
    </row>
    <row r="21" spans="1:11">
      <c r="A21" s="83">
        <v>10</v>
      </c>
      <c r="B21" s="73" t="s">
        <v>0</v>
      </c>
      <c r="C21" s="73"/>
      <c r="D21" s="73" t="s">
        <v>2176</v>
      </c>
      <c r="E21" s="74" t="s">
        <v>2189</v>
      </c>
      <c r="F21" s="74"/>
      <c r="G21" s="73" t="s">
        <v>2190</v>
      </c>
      <c r="H21" s="73"/>
      <c r="I21" s="73"/>
      <c r="J21" s="73"/>
      <c r="K21" s="73" t="s">
        <v>2188</v>
      </c>
    </row>
    <row r="22" spans="1:11">
      <c r="A22" s="83">
        <v>11</v>
      </c>
      <c r="B22" s="73" t="s">
        <v>391</v>
      </c>
      <c r="C22" s="73"/>
      <c r="D22" s="73" t="s">
        <v>2173</v>
      </c>
      <c r="E22" s="74" t="s">
        <v>2191</v>
      </c>
      <c r="F22" s="74"/>
      <c r="G22" s="73" t="s">
        <v>2192</v>
      </c>
      <c r="H22" s="73"/>
      <c r="I22" s="73"/>
      <c r="J22" s="73"/>
      <c r="K22" s="73" t="s">
        <v>2193</v>
      </c>
    </row>
    <row r="23" spans="1:11">
      <c r="A23" s="83">
        <v>11</v>
      </c>
      <c r="B23" s="73" t="s">
        <v>0</v>
      </c>
      <c r="C23" s="73"/>
      <c r="D23" s="73" t="s">
        <v>2176</v>
      </c>
      <c r="E23" s="74" t="s">
        <v>2194</v>
      </c>
      <c r="F23" s="74"/>
      <c r="G23" s="73" t="s">
        <v>2192</v>
      </c>
      <c r="H23" s="73"/>
      <c r="I23" s="73"/>
      <c r="J23" s="73"/>
      <c r="K23" s="73" t="s">
        <v>2193</v>
      </c>
    </row>
    <row r="24" spans="1:11">
      <c r="A24" s="83">
        <v>12</v>
      </c>
      <c r="B24" s="73" t="s">
        <v>391</v>
      </c>
      <c r="C24" s="73"/>
      <c r="D24" s="73" t="s">
        <v>2173</v>
      </c>
      <c r="E24" s="74" t="s">
        <v>2195</v>
      </c>
      <c r="F24" s="74"/>
      <c r="G24" s="73" t="s">
        <v>2192</v>
      </c>
      <c r="H24" s="73"/>
      <c r="I24" s="73"/>
      <c r="J24" s="73"/>
      <c r="K24" s="73" t="s">
        <v>2196</v>
      </c>
    </row>
    <row r="25" spans="1:11">
      <c r="A25" s="83">
        <v>12</v>
      </c>
      <c r="B25" s="73" t="s">
        <v>0</v>
      </c>
      <c r="C25" s="73"/>
      <c r="D25" s="73" t="s">
        <v>2176</v>
      </c>
      <c r="E25" s="74" t="s">
        <v>2197</v>
      </c>
      <c r="F25" s="74"/>
      <c r="G25" s="73" t="s">
        <v>2192</v>
      </c>
      <c r="H25" s="73"/>
      <c r="I25" s="73"/>
      <c r="J25" s="73"/>
      <c r="K25" s="73" t="s">
        <v>2196</v>
      </c>
    </row>
    <row r="26" spans="1:11">
      <c r="A26" s="83">
        <v>13</v>
      </c>
      <c r="B26" s="73" t="s">
        <v>391</v>
      </c>
      <c r="C26" s="73"/>
      <c r="D26" s="73" t="s">
        <v>2173</v>
      </c>
      <c r="E26" s="74" t="s">
        <v>2198</v>
      </c>
      <c r="F26" s="74"/>
      <c r="G26" s="73" t="s">
        <v>107</v>
      </c>
      <c r="H26" s="73"/>
      <c r="I26" s="73"/>
      <c r="J26" s="73"/>
      <c r="K26" s="73" t="s">
        <v>2199</v>
      </c>
    </row>
    <row r="27" spans="1:11">
      <c r="A27" s="83">
        <v>13</v>
      </c>
      <c r="B27" s="73" t="s">
        <v>0</v>
      </c>
      <c r="C27" s="73"/>
      <c r="D27" s="73" t="s">
        <v>2176</v>
      </c>
      <c r="E27" s="74" t="s">
        <v>2200</v>
      </c>
      <c r="F27" s="74"/>
      <c r="G27" s="73" t="s">
        <v>107</v>
      </c>
      <c r="H27" s="73"/>
      <c r="I27" s="73"/>
      <c r="J27" s="73"/>
      <c r="K27" s="73" t="s">
        <v>2199</v>
      </c>
    </row>
    <row r="28" spans="1:11">
      <c r="A28" s="83">
        <v>14</v>
      </c>
      <c r="B28" s="73" t="s">
        <v>391</v>
      </c>
      <c r="C28" s="73"/>
      <c r="D28" s="73" t="s">
        <v>2173</v>
      </c>
      <c r="E28" s="74" t="s">
        <v>2201</v>
      </c>
      <c r="F28" s="74"/>
      <c r="G28" s="73" t="s">
        <v>107</v>
      </c>
      <c r="H28" s="73"/>
      <c r="I28" s="73"/>
      <c r="J28" s="73"/>
      <c r="K28" s="73" t="s">
        <v>2202</v>
      </c>
    </row>
    <row r="29" spans="1:11">
      <c r="A29" s="83">
        <v>14</v>
      </c>
      <c r="B29" s="73" t="s">
        <v>0</v>
      </c>
      <c r="C29" s="73"/>
      <c r="D29" s="73" t="s">
        <v>2176</v>
      </c>
      <c r="E29" s="74" t="s">
        <v>2203</v>
      </c>
      <c r="F29" s="74"/>
      <c r="G29" s="73" t="s">
        <v>107</v>
      </c>
      <c r="H29" s="73"/>
      <c r="I29" s="73"/>
      <c r="J29" s="73"/>
      <c r="K29" s="73" t="s">
        <v>2202</v>
      </c>
    </row>
    <row r="30" spans="1:11">
      <c r="A30" s="83">
        <v>15</v>
      </c>
      <c r="B30" s="73" t="s">
        <v>391</v>
      </c>
      <c r="C30" s="73"/>
      <c r="D30" s="73" t="s">
        <v>2173</v>
      </c>
      <c r="E30" s="74" t="s">
        <v>2204</v>
      </c>
      <c r="F30" s="74"/>
      <c r="G30" s="73" t="s">
        <v>107</v>
      </c>
      <c r="H30" s="73"/>
      <c r="I30" s="73"/>
      <c r="J30" s="73"/>
      <c r="K30" s="73" t="s">
        <v>2182</v>
      </c>
    </row>
    <row r="31" spans="1:11">
      <c r="A31" s="83">
        <v>15</v>
      </c>
      <c r="B31" s="73" t="s">
        <v>0</v>
      </c>
      <c r="C31" s="73"/>
      <c r="D31" s="73" t="s">
        <v>2176</v>
      </c>
      <c r="E31" s="74" t="s">
        <v>2205</v>
      </c>
      <c r="F31" s="74"/>
      <c r="G31" s="73" t="s">
        <v>107</v>
      </c>
      <c r="H31" s="73"/>
      <c r="I31" s="73"/>
      <c r="J31" s="73"/>
      <c r="K31" s="73" t="s">
        <v>2182</v>
      </c>
    </row>
    <row r="32" spans="1:11">
      <c r="A32" s="83">
        <v>16</v>
      </c>
      <c r="B32" s="73" t="s">
        <v>391</v>
      </c>
      <c r="C32" s="73"/>
      <c r="D32" s="73" t="s">
        <v>2173</v>
      </c>
      <c r="E32" s="74" t="s">
        <v>2206</v>
      </c>
      <c r="F32" s="74"/>
      <c r="G32" s="73" t="s">
        <v>107</v>
      </c>
      <c r="H32" s="73"/>
      <c r="I32" s="73"/>
      <c r="J32" s="73"/>
      <c r="K32" s="73" t="s">
        <v>2207</v>
      </c>
    </row>
    <row r="33" spans="1:11">
      <c r="A33" s="83">
        <v>16</v>
      </c>
      <c r="B33" s="73" t="s">
        <v>0</v>
      </c>
      <c r="C33" s="73"/>
      <c r="D33" s="73" t="s">
        <v>2176</v>
      </c>
      <c r="E33" s="74" t="s">
        <v>2208</v>
      </c>
      <c r="F33" s="74"/>
      <c r="G33" s="73" t="s">
        <v>107</v>
      </c>
      <c r="H33" s="73"/>
      <c r="I33" s="73"/>
      <c r="J33" s="73"/>
      <c r="K33" s="73" t="s">
        <v>2207</v>
      </c>
    </row>
    <row r="34" spans="1:11">
      <c r="A34" s="83">
        <v>17</v>
      </c>
      <c r="B34" s="73" t="s">
        <v>391</v>
      </c>
      <c r="C34" s="73"/>
      <c r="D34" s="73" t="s">
        <v>2209</v>
      </c>
      <c r="E34" s="74" t="s">
        <v>2210</v>
      </c>
      <c r="F34" s="74"/>
      <c r="G34" s="73" t="s">
        <v>107</v>
      </c>
      <c r="H34" s="73"/>
      <c r="I34" s="73"/>
      <c r="J34" s="73"/>
      <c r="K34" s="73" t="s">
        <v>2211</v>
      </c>
    </row>
    <row r="35" spans="1:11">
      <c r="A35" s="83">
        <v>17</v>
      </c>
      <c r="B35" s="73" t="s">
        <v>0</v>
      </c>
      <c r="C35" s="73"/>
      <c r="D35" s="73" t="s">
        <v>2212</v>
      </c>
      <c r="E35" s="74" t="s">
        <v>2213</v>
      </c>
      <c r="F35" s="74"/>
      <c r="G35" s="73" t="s">
        <v>107</v>
      </c>
      <c r="H35" s="73"/>
      <c r="I35" s="73"/>
      <c r="J35" s="73"/>
      <c r="K35" s="73" t="s">
        <v>2211</v>
      </c>
    </row>
    <row r="36" spans="1:11">
      <c r="A36" s="83">
        <v>18</v>
      </c>
      <c r="B36" s="73" t="s">
        <v>391</v>
      </c>
      <c r="C36" s="73"/>
      <c r="D36" s="73" t="s">
        <v>2209</v>
      </c>
      <c r="E36" s="74" t="s">
        <v>2214</v>
      </c>
      <c r="F36" s="74"/>
      <c r="G36" s="73" t="s">
        <v>107</v>
      </c>
      <c r="H36" s="73"/>
      <c r="I36" s="73"/>
      <c r="J36" s="73"/>
      <c r="K36" s="73" t="s">
        <v>2215</v>
      </c>
    </row>
    <row r="37" spans="1:11">
      <c r="A37" s="83">
        <v>18</v>
      </c>
      <c r="B37" s="73" t="s">
        <v>0</v>
      </c>
      <c r="C37" s="73"/>
      <c r="D37" s="73" t="s">
        <v>2212</v>
      </c>
      <c r="E37" s="74" t="s">
        <v>2216</v>
      </c>
      <c r="F37" s="74"/>
      <c r="G37" s="73" t="s">
        <v>107</v>
      </c>
      <c r="H37" s="73"/>
      <c r="I37" s="73"/>
      <c r="J37" s="73"/>
      <c r="K37" s="78" t="s">
        <v>2215</v>
      </c>
    </row>
    <row r="38" spans="1:11">
      <c r="A38" s="83">
        <v>19</v>
      </c>
      <c r="B38" s="73" t="s">
        <v>391</v>
      </c>
      <c r="C38" s="73"/>
      <c r="D38" s="73" t="s">
        <v>2209</v>
      </c>
      <c r="E38" s="74" t="s">
        <v>2217</v>
      </c>
      <c r="F38" s="74"/>
      <c r="G38" s="73" t="s">
        <v>107</v>
      </c>
      <c r="H38" s="73"/>
      <c r="I38" s="73"/>
      <c r="J38" s="73"/>
      <c r="K38" s="73" t="s">
        <v>2218</v>
      </c>
    </row>
    <row r="39" spans="1:11">
      <c r="A39" s="83">
        <v>19</v>
      </c>
      <c r="B39" s="73" t="s">
        <v>0</v>
      </c>
      <c r="C39" s="73"/>
      <c r="D39" s="73" t="s">
        <v>2212</v>
      </c>
      <c r="E39" s="74" t="s">
        <v>2219</v>
      </c>
      <c r="F39" s="74"/>
      <c r="G39" s="73" t="s">
        <v>107</v>
      </c>
      <c r="H39" s="73"/>
      <c r="I39" s="73"/>
      <c r="J39" s="73"/>
      <c r="K39" s="73" t="s">
        <v>2218</v>
      </c>
    </row>
    <row r="40" spans="1:11" ht="60">
      <c r="A40" s="83">
        <v>20</v>
      </c>
      <c r="B40" s="73" t="s">
        <v>391</v>
      </c>
      <c r="C40" s="73"/>
      <c r="D40" s="73" t="s">
        <v>2220</v>
      </c>
      <c r="E40" s="74" t="s">
        <v>2221</v>
      </c>
      <c r="F40" s="74"/>
      <c r="G40" s="73" t="s">
        <v>107</v>
      </c>
      <c r="H40" s="73"/>
      <c r="I40" s="73"/>
      <c r="J40" s="73"/>
      <c r="K40" s="73" t="s">
        <v>2222</v>
      </c>
    </row>
    <row r="41" spans="1:11" ht="75">
      <c r="A41" s="83">
        <v>20</v>
      </c>
      <c r="B41" s="73" t="s">
        <v>0</v>
      </c>
      <c r="C41" s="73"/>
      <c r="D41" s="73" t="s">
        <v>2223</v>
      </c>
      <c r="E41" s="74" t="s">
        <v>2224</v>
      </c>
      <c r="F41" s="74"/>
      <c r="G41" s="73" t="s">
        <v>107</v>
      </c>
      <c r="H41" s="73"/>
      <c r="I41" s="73"/>
      <c r="J41" s="73"/>
      <c r="K41" s="73" t="s">
        <v>2222</v>
      </c>
    </row>
    <row r="42" spans="1:11">
      <c r="A42" s="83">
        <v>21</v>
      </c>
      <c r="B42" s="73" t="s">
        <v>391</v>
      </c>
      <c r="C42" s="73"/>
      <c r="D42" s="73" t="s">
        <v>2220</v>
      </c>
      <c r="E42" s="74" t="s">
        <v>2225</v>
      </c>
      <c r="F42" s="74"/>
      <c r="G42" s="73" t="s">
        <v>2226</v>
      </c>
      <c r="H42" s="73"/>
      <c r="I42" s="73" t="s">
        <v>2227</v>
      </c>
      <c r="J42" s="73"/>
      <c r="K42" s="73" t="s">
        <v>2228</v>
      </c>
    </row>
    <row r="43" spans="1:11">
      <c r="A43" s="83">
        <v>21</v>
      </c>
      <c r="B43" s="73" t="s">
        <v>0</v>
      </c>
      <c r="C43" s="73"/>
      <c r="D43" s="73" t="s">
        <v>2223</v>
      </c>
      <c r="E43" s="74" t="s">
        <v>2229</v>
      </c>
      <c r="F43" s="74"/>
      <c r="G43" s="73" t="s">
        <v>2230</v>
      </c>
      <c r="H43" s="73" t="s">
        <v>534</v>
      </c>
      <c r="I43" s="73" t="s">
        <v>2231</v>
      </c>
      <c r="J43" s="73"/>
      <c r="K43" s="73" t="s">
        <v>2228</v>
      </c>
    </row>
    <row r="44" spans="1:11">
      <c r="A44" s="83">
        <v>22</v>
      </c>
      <c r="B44" s="73" t="s">
        <v>391</v>
      </c>
      <c r="C44" s="73"/>
      <c r="D44" s="73" t="s">
        <v>2220</v>
      </c>
      <c r="E44" s="74" t="s">
        <v>2232</v>
      </c>
      <c r="F44" s="74"/>
      <c r="G44" s="73" t="s">
        <v>107</v>
      </c>
      <c r="H44" s="73"/>
      <c r="I44" s="73" t="s">
        <v>2227</v>
      </c>
      <c r="J44" s="73"/>
      <c r="K44" s="73" t="s">
        <v>2233</v>
      </c>
    </row>
    <row r="45" spans="1:11">
      <c r="A45" s="83">
        <v>22</v>
      </c>
      <c r="B45" s="73" t="s">
        <v>0</v>
      </c>
      <c r="C45" s="73"/>
      <c r="D45" s="73" t="s">
        <v>2223</v>
      </c>
      <c r="E45" s="74" t="s">
        <v>2234</v>
      </c>
      <c r="F45" s="74"/>
      <c r="G45" s="73" t="s">
        <v>107</v>
      </c>
      <c r="H45" s="73" t="s">
        <v>534</v>
      </c>
      <c r="I45" s="73" t="s">
        <v>2231</v>
      </c>
      <c r="J45" s="73"/>
      <c r="K45" s="73" t="s">
        <v>2233</v>
      </c>
    </row>
    <row r="46" spans="1:11">
      <c r="A46" s="82">
        <v>23</v>
      </c>
      <c r="B46" s="71" t="s">
        <v>0</v>
      </c>
      <c r="C46" s="71"/>
      <c r="D46" s="71" t="s">
        <v>2235</v>
      </c>
      <c r="E46" s="72" t="s">
        <v>2236</v>
      </c>
      <c r="F46" s="72"/>
      <c r="G46" s="71" t="s">
        <v>107</v>
      </c>
      <c r="H46" s="71"/>
      <c r="I46" s="71"/>
      <c r="J46" s="71"/>
      <c r="K46" s="71" t="s">
        <v>2237</v>
      </c>
    </row>
    <row r="47" spans="1:11">
      <c r="A47" s="83">
        <v>23</v>
      </c>
      <c r="B47" s="73" t="s">
        <v>391</v>
      </c>
      <c r="C47" s="73"/>
      <c r="D47" s="73" t="s">
        <v>2238</v>
      </c>
      <c r="E47" s="74" t="s">
        <v>2239</v>
      </c>
      <c r="F47" s="74"/>
      <c r="G47" s="73" t="s">
        <v>107</v>
      </c>
      <c r="H47" s="73"/>
      <c r="I47" s="73"/>
      <c r="J47" s="73"/>
      <c r="K47" s="73" t="s">
        <v>2237</v>
      </c>
    </row>
    <row r="48" spans="1:11" ht="45">
      <c r="A48" s="82">
        <v>24</v>
      </c>
      <c r="B48" s="71" t="s">
        <v>0</v>
      </c>
      <c r="C48" s="71"/>
      <c r="D48" s="71" t="s">
        <v>2240</v>
      </c>
      <c r="E48" s="72" t="s">
        <v>2241</v>
      </c>
      <c r="F48" s="72"/>
      <c r="G48" s="71" t="s">
        <v>107</v>
      </c>
      <c r="H48" s="71" t="s">
        <v>534</v>
      </c>
      <c r="I48" s="71"/>
      <c r="J48" s="71"/>
      <c r="K48" s="71" t="s">
        <v>2242</v>
      </c>
    </row>
    <row r="49" spans="1:11" ht="30">
      <c r="A49" s="83">
        <v>24</v>
      </c>
      <c r="B49" s="73" t="s">
        <v>391</v>
      </c>
      <c r="C49" s="73"/>
      <c r="D49" s="73" t="s">
        <v>2243</v>
      </c>
      <c r="E49" s="74" t="s">
        <v>2244</v>
      </c>
      <c r="F49" s="74"/>
      <c r="G49" s="73" t="s">
        <v>107</v>
      </c>
      <c r="H49" s="73"/>
      <c r="I49" s="73"/>
      <c r="J49" s="73"/>
      <c r="K49" s="73" t="s">
        <v>2242</v>
      </c>
    </row>
    <row r="50" spans="1:11" ht="45">
      <c r="A50" s="82">
        <v>25</v>
      </c>
      <c r="B50" s="71" t="s">
        <v>0</v>
      </c>
      <c r="C50" s="71"/>
      <c r="D50" s="71" t="s">
        <v>2240</v>
      </c>
      <c r="E50" s="72" t="s">
        <v>2245</v>
      </c>
      <c r="F50" s="72"/>
      <c r="G50" s="71" t="s">
        <v>2190</v>
      </c>
      <c r="H50" s="71" t="s">
        <v>534</v>
      </c>
      <c r="I50" s="71"/>
      <c r="J50" s="71"/>
      <c r="K50" s="71" t="s">
        <v>2246</v>
      </c>
    </row>
    <row r="51" spans="1:11" ht="45">
      <c r="A51" s="83">
        <v>25</v>
      </c>
      <c r="B51" s="73" t="s">
        <v>391</v>
      </c>
      <c r="C51" s="73"/>
      <c r="D51" s="73" t="s">
        <v>2243</v>
      </c>
      <c r="E51" s="74" t="s">
        <v>2247</v>
      </c>
      <c r="F51" s="74"/>
      <c r="G51" s="73" t="s">
        <v>2187</v>
      </c>
      <c r="H51" s="73"/>
      <c r="I51" s="73"/>
      <c r="J51" s="73"/>
      <c r="K51" s="73" t="s">
        <v>2246</v>
      </c>
    </row>
    <row r="52" spans="1:11">
      <c r="A52" s="82">
        <v>26</v>
      </c>
      <c r="B52" s="71" t="s">
        <v>0</v>
      </c>
      <c r="C52" s="71"/>
      <c r="D52" s="71" t="s">
        <v>2240</v>
      </c>
      <c r="E52" s="72" t="s">
        <v>2248</v>
      </c>
      <c r="F52" s="72"/>
      <c r="G52" s="71" t="s">
        <v>107</v>
      </c>
      <c r="H52" s="71" t="s">
        <v>534</v>
      </c>
      <c r="I52" s="71"/>
      <c r="J52" s="71"/>
      <c r="K52" s="71" t="s">
        <v>2249</v>
      </c>
    </row>
    <row r="53" spans="1:11">
      <c r="A53" s="83">
        <v>26</v>
      </c>
      <c r="B53" s="73" t="s">
        <v>391</v>
      </c>
      <c r="C53" s="73"/>
      <c r="D53" s="73" t="s">
        <v>2243</v>
      </c>
      <c r="E53" s="74" t="s">
        <v>2250</v>
      </c>
      <c r="F53" s="74"/>
      <c r="G53" s="73" t="s">
        <v>107</v>
      </c>
      <c r="H53" s="73"/>
      <c r="I53" s="73"/>
      <c r="J53" s="73"/>
      <c r="K53" s="73" t="s">
        <v>2249</v>
      </c>
    </row>
    <row r="54" spans="1:11">
      <c r="A54" s="82">
        <v>27</v>
      </c>
      <c r="B54" s="71" t="s">
        <v>0</v>
      </c>
      <c r="C54" s="71"/>
      <c r="D54" s="71" t="s">
        <v>2240</v>
      </c>
      <c r="E54" s="72" t="s">
        <v>2251</v>
      </c>
      <c r="F54" s="72"/>
      <c r="G54" s="71" t="s">
        <v>107</v>
      </c>
      <c r="H54" s="71" t="s">
        <v>534</v>
      </c>
      <c r="I54" s="71"/>
      <c r="J54" s="71"/>
      <c r="K54" s="71" t="s">
        <v>2252</v>
      </c>
    </row>
    <row r="55" spans="1:11">
      <c r="A55" s="83">
        <v>27</v>
      </c>
      <c r="B55" s="73" t="s">
        <v>391</v>
      </c>
      <c r="C55" s="73"/>
      <c r="D55" s="73" t="s">
        <v>2243</v>
      </c>
      <c r="E55" s="74" t="s">
        <v>2253</v>
      </c>
      <c r="F55" s="74"/>
      <c r="G55" s="73" t="s">
        <v>107</v>
      </c>
      <c r="H55" s="73"/>
      <c r="I55" s="73"/>
      <c r="J55" s="73"/>
      <c r="K55" s="73" t="s">
        <v>2252</v>
      </c>
    </row>
    <row r="56" spans="1:11">
      <c r="A56" s="82">
        <v>28</v>
      </c>
      <c r="B56" s="71" t="s">
        <v>0</v>
      </c>
      <c r="C56" s="71"/>
      <c r="D56" s="71" t="s">
        <v>2240</v>
      </c>
      <c r="E56" s="72" t="s">
        <v>2254</v>
      </c>
      <c r="F56" s="72"/>
      <c r="G56" s="71" t="s">
        <v>107</v>
      </c>
      <c r="H56" s="71" t="s">
        <v>534</v>
      </c>
      <c r="I56" s="71"/>
      <c r="J56" s="71"/>
      <c r="K56" s="71" t="s">
        <v>2255</v>
      </c>
    </row>
    <row r="57" spans="1:11">
      <c r="A57" s="83">
        <v>28</v>
      </c>
      <c r="B57" s="73" t="s">
        <v>391</v>
      </c>
      <c r="C57" s="73"/>
      <c r="D57" s="73" t="s">
        <v>2243</v>
      </c>
      <c r="E57" s="74" t="s">
        <v>2256</v>
      </c>
      <c r="F57" s="74"/>
      <c r="G57" s="73" t="s">
        <v>107</v>
      </c>
      <c r="H57" s="73"/>
      <c r="I57" s="73"/>
      <c r="J57" s="73"/>
      <c r="K57" s="73" t="s">
        <v>2255</v>
      </c>
    </row>
    <row r="58" spans="1:11">
      <c r="A58" s="83">
        <v>29</v>
      </c>
      <c r="B58" s="73" t="s">
        <v>391</v>
      </c>
      <c r="C58" s="73"/>
      <c r="D58" s="73" t="s">
        <v>2257</v>
      </c>
      <c r="E58" s="74" t="s">
        <v>2258</v>
      </c>
      <c r="F58" s="74"/>
      <c r="G58" s="73" t="s">
        <v>107</v>
      </c>
      <c r="H58" s="73"/>
      <c r="I58" s="73"/>
      <c r="J58" s="73"/>
      <c r="K58" s="73" t="s">
        <v>2259</v>
      </c>
    </row>
    <row r="59" spans="1:11">
      <c r="A59" s="83">
        <v>29</v>
      </c>
      <c r="B59" s="73" t="s">
        <v>0</v>
      </c>
      <c r="C59" s="73"/>
      <c r="D59" s="73" t="s">
        <v>2260</v>
      </c>
      <c r="E59" s="74" t="s">
        <v>2261</v>
      </c>
      <c r="F59" s="74"/>
      <c r="G59" s="73" t="s">
        <v>107</v>
      </c>
      <c r="H59" s="73" t="s">
        <v>534</v>
      </c>
      <c r="I59" s="73"/>
      <c r="J59" s="73"/>
      <c r="K59" s="73" t="s">
        <v>2259</v>
      </c>
    </row>
    <row r="60" spans="1:11">
      <c r="A60" s="83">
        <v>30</v>
      </c>
      <c r="B60" s="73" t="s">
        <v>391</v>
      </c>
      <c r="C60" s="73"/>
      <c r="D60" s="73" t="s">
        <v>2257</v>
      </c>
      <c r="E60" s="74" t="s">
        <v>2262</v>
      </c>
      <c r="F60" s="74"/>
      <c r="G60" s="73" t="s">
        <v>107</v>
      </c>
      <c r="H60" s="73"/>
      <c r="I60" s="73"/>
      <c r="J60" s="73"/>
      <c r="K60" s="73" t="s">
        <v>2263</v>
      </c>
    </row>
    <row r="61" spans="1:11">
      <c r="A61" s="83">
        <v>30</v>
      </c>
      <c r="B61" s="73" t="s">
        <v>0</v>
      </c>
      <c r="C61" s="73"/>
      <c r="D61" s="73" t="s">
        <v>2260</v>
      </c>
      <c r="E61" s="74" t="s">
        <v>2264</v>
      </c>
      <c r="F61" s="74"/>
      <c r="G61" s="73" t="s">
        <v>107</v>
      </c>
      <c r="H61" s="73" t="s">
        <v>534</v>
      </c>
      <c r="I61" s="73"/>
      <c r="J61" s="73"/>
      <c r="K61" s="73" t="s">
        <v>2263</v>
      </c>
    </row>
    <row r="62" spans="1:11">
      <c r="A62" s="83">
        <v>31</v>
      </c>
      <c r="B62" s="73" t="s">
        <v>391</v>
      </c>
      <c r="C62" s="73"/>
      <c r="D62" s="73" t="s">
        <v>2257</v>
      </c>
      <c r="E62" s="74" t="s">
        <v>2265</v>
      </c>
      <c r="F62" s="74"/>
      <c r="G62" s="73" t="s">
        <v>107</v>
      </c>
      <c r="H62" s="73"/>
      <c r="I62" s="73"/>
      <c r="J62" s="73"/>
      <c r="K62" s="73" t="s">
        <v>2266</v>
      </c>
    </row>
    <row r="63" spans="1:11">
      <c r="A63" s="83">
        <v>31</v>
      </c>
      <c r="B63" s="73" t="s">
        <v>0</v>
      </c>
      <c r="C63" s="73"/>
      <c r="D63" s="73" t="s">
        <v>2260</v>
      </c>
      <c r="E63" s="74" t="s">
        <v>2267</v>
      </c>
      <c r="F63" s="74"/>
      <c r="G63" s="73" t="s">
        <v>107</v>
      </c>
      <c r="H63" s="73" t="s">
        <v>534</v>
      </c>
      <c r="I63" s="73"/>
      <c r="J63" s="73"/>
      <c r="K63" s="73" t="s">
        <v>2266</v>
      </c>
    </row>
    <row r="64" spans="1:11">
      <c r="A64" s="83">
        <v>32</v>
      </c>
      <c r="B64" s="73" t="s">
        <v>391</v>
      </c>
      <c r="C64" s="73"/>
      <c r="D64" s="73" t="s">
        <v>2257</v>
      </c>
      <c r="E64" s="74" t="s">
        <v>2268</v>
      </c>
      <c r="F64" s="74"/>
      <c r="G64" s="73" t="s">
        <v>107</v>
      </c>
      <c r="H64" s="73"/>
      <c r="I64" s="73"/>
      <c r="J64" s="73"/>
      <c r="K64" s="73" t="s">
        <v>2269</v>
      </c>
    </row>
    <row r="65" spans="1:11">
      <c r="A65" s="83">
        <v>32</v>
      </c>
      <c r="B65" s="73" t="s">
        <v>0</v>
      </c>
      <c r="C65" s="73"/>
      <c r="D65" s="73" t="s">
        <v>2260</v>
      </c>
      <c r="E65" s="74" t="s">
        <v>2270</v>
      </c>
      <c r="F65" s="74"/>
      <c r="G65" s="73" t="s">
        <v>107</v>
      </c>
      <c r="H65" s="73" t="s">
        <v>534</v>
      </c>
      <c r="I65" s="73"/>
      <c r="J65" s="73"/>
      <c r="K65" s="73" t="s">
        <v>2269</v>
      </c>
    </row>
    <row r="66" spans="1:11">
      <c r="A66" s="83">
        <v>33</v>
      </c>
      <c r="B66" s="73" t="s">
        <v>391</v>
      </c>
      <c r="C66" s="73"/>
      <c r="D66" s="73" t="s">
        <v>2271</v>
      </c>
      <c r="E66" s="74" t="s">
        <v>2272</v>
      </c>
      <c r="F66" s="74"/>
      <c r="G66" s="73" t="s">
        <v>2273</v>
      </c>
      <c r="H66" s="73"/>
      <c r="I66" s="73"/>
      <c r="J66" s="73"/>
      <c r="K66" s="73" t="s">
        <v>2274</v>
      </c>
    </row>
    <row r="67" spans="1:11">
      <c r="A67" s="83">
        <v>33</v>
      </c>
      <c r="B67" s="73" t="s">
        <v>0</v>
      </c>
      <c r="C67" s="73"/>
      <c r="D67" s="73" t="s">
        <v>2275</v>
      </c>
      <c r="E67" s="74" t="s">
        <v>2276</v>
      </c>
      <c r="F67" s="74"/>
      <c r="G67" s="73" t="s">
        <v>2277</v>
      </c>
      <c r="H67" s="73" t="s">
        <v>534</v>
      </c>
      <c r="I67" s="73"/>
      <c r="J67" s="73"/>
      <c r="K67" s="73" t="s">
        <v>2274</v>
      </c>
    </row>
    <row r="68" spans="1:11">
      <c r="A68" s="83">
        <v>34</v>
      </c>
      <c r="B68" s="73" t="s">
        <v>391</v>
      </c>
      <c r="C68" s="73"/>
      <c r="D68" s="73" t="s">
        <v>2271</v>
      </c>
      <c r="E68" s="74" t="s">
        <v>2278</v>
      </c>
      <c r="F68" s="74"/>
      <c r="G68" s="73" t="s">
        <v>107</v>
      </c>
      <c r="H68" s="73"/>
      <c r="I68" s="73"/>
      <c r="J68" s="73"/>
      <c r="K68" s="73" t="s">
        <v>2279</v>
      </c>
    </row>
    <row r="69" spans="1:11">
      <c r="A69" s="83">
        <v>34</v>
      </c>
      <c r="B69" s="73" t="s">
        <v>0</v>
      </c>
      <c r="C69" s="73"/>
      <c r="D69" s="73" t="s">
        <v>2275</v>
      </c>
      <c r="E69" s="74" t="s">
        <v>2280</v>
      </c>
      <c r="F69" s="74"/>
      <c r="G69" s="73" t="s">
        <v>107</v>
      </c>
      <c r="H69" s="73"/>
      <c r="I69" s="73"/>
      <c r="J69" s="73"/>
      <c r="K69" s="73" t="s">
        <v>2279</v>
      </c>
    </row>
    <row r="70" spans="1:11">
      <c r="A70" s="83">
        <v>35</v>
      </c>
      <c r="B70" s="73" t="s">
        <v>391</v>
      </c>
      <c r="C70" s="73"/>
      <c r="D70" s="73" t="s">
        <v>2271</v>
      </c>
      <c r="E70" s="74" t="s">
        <v>2281</v>
      </c>
      <c r="F70" s="74"/>
      <c r="G70" s="73" t="s">
        <v>107</v>
      </c>
      <c r="H70" s="73"/>
      <c r="I70" s="73"/>
      <c r="J70" s="73"/>
      <c r="K70" s="73" t="s">
        <v>2282</v>
      </c>
    </row>
    <row r="71" spans="1:11">
      <c r="A71" s="83">
        <v>35</v>
      </c>
      <c r="B71" s="73" t="s">
        <v>0</v>
      </c>
      <c r="C71" s="73"/>
      <c r="D71" s="73" t="s">
        <v>2275</v>
      </c>
      <c r="E71" s="74" t="s">
        <v>2283</v>
      </c>
      <c r="F71" s="74"/>
      <c r="G71" s="73" t="s">
        <v>107</v>
      </c>
      <c r="H71" s="73"/>
      <c r="I71" s="73"/>
      <c r="J71" s="73"/>
      <c r="K71" s="73" t="s">
        <v>2282</v>
      </c>
    </row>
    <row r="72" spans="1:11">
      <c r="A72" s="83">
        <v>36</v>
      </c>
      <c r="B72" s="73" t="s">
        <v>391</v>
      </c>
      <c r="C72" s="73"/>
      <c r="D72" s="73" t="s">
        <v>2271</v>
      </c>
      <c r="E72" s="74" t="s">
        <v>2284</v>
      </c>
      <c r="F72" s="74"/>
      <c r="G72" s="73" t="s">
        <v>107</v>
      </c>
      <c r="H72" s="73"/>
      <c r="I72" s="73"/>
      <c r="J72" s="73"/>
      <c r="K72" s="73" t="s">
        <v>2175</v>
      </c>
    </row>
    <row r="73" spans="1:11">
      <c r="A73" s="83">
        <v>36</v>
      </c>
      <c r="B73" s="73" t="s">
        <v>0</v>
      </c>
      <c r="C73" s="73"/>
      <c r="D73" s="73" t="s">
        <v>2275</v>
      </c>
      <c r="E73" s="74" t="s">
        <v>2285</v>
      </c>
      <c r="F73" s="74"/>
      <c r="G73" s="73" t="s">
        <v>107</v>
      </c>
      <c r="H73" s="73"/>
      <c r="I73" s="73"/>
      <c r="J73" s="73"/>
      <c r="K73" s="73" t="s">
        <v>2175</v>
      </c>
    </row>
    <row r="74" spans="1:11">
      <c r="A74" s="83">
        <v>37</v>
      </c>
      <c r="B74" s="73" t="s">
        <v>391</v>
      </c>
      <c r="C74" s="73"/>
      <c r="D74" s="73" t="s">
        <v>2286</v>
      </c>
      <c r="E74" s="74" t="s">
        <v>2287</v>
      </c>
      <c r="F74" s="74"/>
      <c r="G74" s="73" t="s">
        <v>107</v>
      </c>
      <c r="H74" s="73"/>
      <c r="I74" s="73"/>
      <c r="J74" s="73"/>
      <c r="K74" s="73" t="s">
        <v>2288</v>
      </c>
    </row>
    <row r="75" spans="1:11">
      <c r="A75" s="83">
        <v>37</v>
      </c>
      <c r="B75" s="73" t="s">
        <v>0</v>
      </c>
      <c r="C75" s="73"/>
      <c r="D75" s="73" t="s">
        <v>2289</v>
      </c>
      <c r="E75" s="74" t="s">
        <v>2290</v>
      </c>
      <c r="F75" s="74"/>
      <c r="G75" s="73" t="s">
        <v>107</v>
      </c>
      <c r="H75" s="73"/>
      <c r="I75" s="73"/>
      <c r="J75" s="73"/>
      <c r="K75" s="73" t="s">
        <v>2288</v>
      </c>
    </row>
    <row r="76" spans="1:11">
      <c r="A76" s="83">
        <v>38</v>
      </c>
      <c r="B76" s="73" t="s">
        <v>391</v>
      </c>
      <c r="C76" s="73"/>
      <c r="D76" s="73" t="s">
        <v>2286</v>
      </c>
      <c r="E76" s="74" t="s">
        <v>2291</v>
      </c>
      <c r="F76" s="74"/>
      <c r="G76" s="73" t="s">
        <v>107</v>
      </c>
      <c r="H76" s="73"/>
      <c r="I76" s="73"/>
      <c r="J76" s="73"/>
      <c r="K76" s="73" t="s">
        <v>2292</v>
      </c>
    </row>
    <row r="77" spans="1:11">
      <c r="A77" s="83">
        <v>38</v>
      </c>
      <c r="B77" s="73" t="s">
        <v>0</v>
      </c>
      <c r="C77" s="73"/>
      <c r="D77" s="73" t="s">
        <v>2289</v>
      </c>
      <c r="E77" s="74" t="s">
        <v>2293</v>
      </c>
      <c r="F77" s="74"/>
      <c r="G77" s="73" t="s">
        <v>107</v>
      </c>
      <c r="H77" s="73"/>
      <c r="I77" s="73"/>
      <c r="J77" s="73"/>
      <c r="K77" s="73" t="s">
        <v>2292</v>
      </c>
    </row>
    <row r="78" spans="1:11">
      <c r="A78" s="83">
        <v>39</v>
      </c>
      <c r="B78" s="73" t="s">
        <v>391</v>
      </c>
      <c r="C78" s="73"/>
      <c r="D78" s="73" t="s">
        <v>2286</v>
      </c>
      <c r="E78" s="74" t="s">
        <v>2294</v>
      </c>
      <c r="F78" s="74"/>
      <c r="G78" s="73" t="s">
        <v>107</v>
      </c>
      <c r="H78" s="73"/>
      <c r="I78" s="73"/>
      <c r="J78" s="73"/>
      <c r="K78" s="73" t="s">
        <v>2295</v>
      </c>
    </row>
    <row r="79" spans="1:11">
      <c r="A79" s="83">
        <v>39</v>
      </c>
      <c r="B79" s="73" t="s">
        <v>0</v>
      </c>
      <c r="C79" s="73"/>
      <c r="D79" s="73" t="s">
        <v>2289</v>
      </c>
      <c r="E79" s="74" t="s">
        <v>2296</v>
      </c>
      <c r="F79" s="74"/>
      <c r="G79" s="73" t="s">
        <v>107</v>
      </c>
      <c r="H79" s="73"/>
      <c r="I79" s="73"/>
      <c r="J79" s="73"/>
      <c r="K79" s="73" t="s">
        <v>2295</v>
      </c>
    </row>
    <row r="80" spans="1:11">
      <c r="A80" s="83">
        <v>40</v>
      </c>
      <c r="B80" s="73" t="s">
        <v>391</v>
      </c>
      <c r="C80" s="73"/>
      <c r="D80" s="73" t="s">
        <v>2286</v>
      </c>
      <c r="E80" s="74" t="s">
        <v>2297</v>
      </c>
      <c r="F80" s="74"/>
      <c r="G80" s="73" t="s">
        <v>107</v>
      </c>
      <c r="H80" s="73"/>
      <c r="I80" s="73"/>
      <c r="J80" s="73"/>
      <c r="K80" s="73" t="s">
        <v>2298</v>
      </c>
    </row>
    <row r="81" spans="1:11">
      <c r="A81" s="83">
        <v>40</v>
      </c>
      <c r="B81" s="73" t="s">
        <v>0</v>
      </c>
      <c r="C81" s="73"/>
      <c r="D81" s="73" t="s">
        <v>2289</v>
      </c>
      <c r="E81" s="81" t="s">
        <v>2299</v>
      </c>
      <c r="F81" s="74"/>
      <c r="G81" s="73" t="s">
        <v>107</v>
      </c>
      <c r="H81" s="73"/>
      <c r="I81" s="73"/>
      <c r="J81" s="73"/>
      <c r="K81" s="73" t="s">
        <v>2298</v>
      </c>
    </row>
    <row r="82" spans="1:11">
      <c r="A82" s="83">
        <v>41</v>
      </c>
      <c r="B82" s="73" t="s">
        <v>391</v>
      </c>
      <c r="C82" s="73"/>
      <c r="D82" s="73" t="s">
        <v>2286</v>
      </c>
      <c r="E82" s="74" t="s">
        <v>2300</v>
      </c>
      <c r="F82" s="74"/>
      <c r="G82" s="73" t="s">
        <v>107</v>
      </c>
      <c r="H82" s="73"/>
      <c r="I82" s="73"/>
      <c r="J82" s="73"/>
      <c r="K82" s="73" t="s">
        <v>2301</v>
      </c>
    </row>
    <row r="83" spans="1:11">
      <c r="A83" s="83">
        <v>41</v>
      </c>
      <c r="B83" s="73" t="s">
        <v>0</v>
      </c>
      <c r="C83" s="73"/>
      <c r="D83" s="73" t="s">
        <v>2289</v>
      </c>
      <c r="E83" s="74" t="s">
        <v>2302</v>
      </c>
      <c r="F83" s="74"/>
      <c r="G83" s="73" t="s">
        <v>107</v>
      </c>
      <c r="H83" s="73"/>
      <c r="I83" s="73"/>
      <c r="J83" s="73"/>
      <c r="K83" s="73" t="s">
        <v>2301</v>
      </c>
    </row>
    <row r="84" spans="1:11">
      <c r="A84" s="83">
        <v>42</v>
      </c>
      <c r="B84" s="73" t="s">
        <v>391</v>
      </c>
      <c r="C84" s="73"/>
      <c r="D84" s="73" t="s">
        <v>2286</v>
      </c>
      <c r="E84" s="74" t="s">
        <v>2303</v>
      </c>
      <c r="F84" s="74"/>
      <c r="G84" s="73" t="s">
        <v>107</v>
      </c>
      <c r="H84" s="73"/>
      <c r="I84" s="73"/>
      <c r="J84" s="73"/>
      <c r="K84" s="73" t="s">
        <v>2304</v>
      </c>
    </row>
    <row r="85" spans="1:11">
      <c r="A85" s="83">
        <v>42</v>
      </c>
      <c r="B85" s="73" t="s">
        <v>0</v>
      </c>
      <c r="C85" s="73"/>
      <c r="D85" s="73" t="s">
        <v>2289</v>
      </c>
      <c r="E85" s="74" t="s">
        <v>2305</v>
      </c>
      <c r="F85" s="74"/>
      <c r="G85" s="73" t="s">
        <v>107</v>
      </c>
      <c r="H85" s="73"/>
      <c r="I85" s="73"/>
      <c r="J85" s="73"/>
      <c r="K85" s="73" t="s">
        <v>2304</v>
      </c>
    </row>
    <row r="86" spans="1:11">
      <c r="A86" s="82">
        <v>43</v>
      </c>
      <c r="B86" s="71" t="s">
        <v>0</v>
      </c>
      <c r="C86" s="71"/>
      <c r="D86" s="71" t="s">
        <v>2306</v>
      </c>
      <c r="E86" s="72" t="s">
        <v>2307</v>
      </c>
      <c r="F86" s="72"/>
      <c r="G86" s="71" t="s">
        <v>107</v>
      </c>
      <c r="H86" s="71"/>
      <c r="I86" s="71"/>
      <c r="J86" s="71"/>
      <c r="K86" s="71" t="s">
        <v>2308</v>
      </c>
    </row>
    <row r="87" spans="1:11">
      <c r="A87" s="83">
        <v>43</v>
      </c>
      <c r="B87" s="73" t="s">
        <v>391</v>
      </c>
      <c r="C87" s="73"/>
      <c r="D87" s="73" t="s">
        <v>2309</v>
      </c>
      <c r="E87" s="74" t="s">
        <v>2310</v>
      </c>
      <c r="F87" s="74"/>
      <c r="G87" s="73" t="s">
        <v>107</v>
      </c>
      <c r="H87" s="73"/>
      <c r="I87" s="73"/>
      <c r="J87" s="73"/>
      <c r="K87" s="73" t="s">
        <v>2308</v>
      </c>
    </row>
    <row r="88" spans="1:11" ht="30">
      <c r="A88" s="82">
        <v>44</v>
      </c>
      <c r="B88" s="71" t="s">
        <v>0</v>
      </c>
      <c r="C88" s="71"/>
      <c r="D88" s="71" t="s">
        <v>2306</v>
      </c>
      <c r="E88" s="72" t="s">
        <v>2311</v>
      </c>
      <c r="F88" s="72"/>
      <c r="G88" s="71" t="s">
        <v>2312</v>
      </c>
      <c r="H88" s="71"/>
      <c r="I88" s="71"/>
      <c r="J88" s="71"/>
      <c r="K88" s="71" t="s">
        <v>2313</v>
      </c>
    </row>
    <row r="89" spans="1:11" ht="30">
      <c r="A89" s="83">
        <v>44</v>
      </c>
      <c r="B89" s="73" t="s">
        <v>391</v>
      </c>
      <c r="C89" s="73"/>
      <c r="D89" s="73" t="s">
        <v>2309</v>
      </c>
      <c r="E89" s="74" t="s">
        <v>2314</v>
      </c>
      <c r="F89" s="74"/>
      <c r="G89" s="73" t="s">
        <v>2315</v>
      </c>
      <c r="H89" s="73"/>
      <c r="I89" s="73"/>
      <c r="J89" s="73"/>
      <c r="K89" s="73" t="s">
        <v>2313</v>
      </c>
    </row>
    <row r="90" spans="1:11">
      <c r="A90" s="82">
        <v>45</v>
      </c>
      <c r="B90" s="71" t="s">
        <v>0</v>
      </c>
      <c r="C90" s="71"/>
      <c r="D90" s="71" t="s">
        <v>2306</v>
      </c>
      <c r="E90" s="72" t="s">
        <v>2316</v>
      </c>
      <c r="F90" s="72"/>
      <c r="G90" s="71" t="s">
        <v>107</v>
      </c>
      <c r="H90" s="71"/>
      <c r="I90" s="71"/>
      <c r="J90" s="71"/>
      <c r="K90" s="71" t="s">
        <v>2317</v>
      </c>
    </row>
    <row r="91" spans="1:11">
      <c r="A91" s="83">
        <v>45</v>
      </c>
      <c r="B91" s="73" t="s">
        <v>391</v>
      </c>
      <c r="C91" s="73"/>
      <c r="D91" s="73" t="s">
        <v>2309</v>
      </c>
      <c r="E91" s="74" t="s">
        <v>2318</v>
      </c>
      <c r="F91" s="74"/>
      <c r="G91" s="73" t="s">
        <v>107</v>
      </c>
      <c r="H91" s="73"/>
      <c r="I91" s="73"/>
      <c r="J91" s="73"/>
      <c r="K91" s="73" t="s">
        <v>2317</v>
      </c>
    </row>
    <row r="92" spans="1:11">
      <c r="A92" s="82">
        <v>46</v>
      </c>
      <c r="B92" s="71" t="s">
        <v>0</v>
      </c>
      <c r="C92" s="71"/>
      <c r="D92" s="71" t="s">
        <v>2306</v>
      </c>
      <c r="E92" s="72" t="s">
        <v>2319</v>
      </c>
      <c r="F92" s="72"/>
      <c r="G92" s="71" t="s">
        <v>107</v>
      </c>
      <c r="H92" s="71"/>
      <c r="I92" s="71"/>
      <c r="J92" s="71"/>
      <c r="K92" s="71" t="s">
        <v>2320</v>
      </c>
    </row>
    <row r="93" spans="1:11">
      <c r="A93" s="83">
        <v>46</v>
      </c>
      <c r="B93" s="73" t="s">
        <v>391</v>
      </c>
      <c r="C93" s="73"/>
      <c r="D93" s="73" t="s">
        <v>2309</v>
      </c>
      <c r="E93" s="74" t="s">
        <v>2321</v>
      </c>
      <c r="F93" s="74"/>
      <c r="G93" s="73" t="s">
        <v>107</v>
      </c>
      <c r="H93" s="73"/>
      <c r="I93" s="73"/>
      <c r="J93" s="73"/>
      <c r="K93" s="73" t="s">
        <v>2320</v>
      </c>
    </row>
    <row r="94" spans="1:11">
      <c r="A94" s="82">
        <v>47</v>
      </c>
      <c r="B94" s="71" t="s">
        <v>0</v>
      </c>
      <c r="C94" s="71"/>
      <c r="D94" s="71" t="s">
        <v>2306</v>
      </c>
      <c r="E94" s="72" t="s">
        <v>2322</v>
      </c>
      <c r="F94" s="72"/>
      <c r="G94" s="71" t="s">
        <v>107</v>
      </c>
      <c r="H94" s="71"/>
      <c r="I94" s="71"/>
      <c r="J94" s="71"/>
      <c r="K94" s="71" t="s">
        <v>2323</v>
      </c>
    </row>
    <row r="95" spans="1:11">
      <c r="A95" s="83">
        <v>47</v>
      </c>
      <c r="B95" s="73" t="s">
        <v>391</v>
      </c>
      <c r="C95" s="73"/>
      <c r="D95" s="73" t="s">
        <v>2309</v>
      </c>
      <c r="E95" s="74" t="s">
        <v>2324</v>
      </c>
      <c r="F95" s="74"/>
      <c r="G95" s="73" t="s">
        <v>107</v>
      </c>
      <c r="H95" s="73"/>
      <c r="I95" s="73"/>
      <c r="J95" s="73"/>
      <c r="K95" s="73" t="s">
        <v>2323</v>
      </c>
    </row>
    <row r="96" spans="1:11" ht="75">
      <c r="A96" s="82">
        <v>48</v>
      </c>
      <c r="B96" s="71" t="s">
        <v>0</v>
      </c>
      <c r="C96" s="71"/>
      <c r="D96" s="71" t="s">
        <v>2325</v>
      </c>
      <c r="E96" s="72" t="s">
        <v>2326</v>
      </c>
      <c r="F96" s="72"/>
      <c r="G96" s="71" t="s">
        <v>107</v>
      </c>
      <c r="H96" s="71" t="s">
        <v>535</v>
      </c>
      <c r="I96" s="71"/>
      <c r="J96" s="71"/>
      <c r="K96" s="71" t="s">
        <v>2327</v>
      </c>
    </row>
    <row r="97" spans="1:11" ht="75">
      <c r="A97" s="83">
        <v>48</v>
      </c>
      <c r="B97" s="73" t="s">
        <v>391</v>
      </c>
      <c r="C97" s="73"/>
      <c r="D97" s="73" t="s">
        <v>2325</v>
      </c>
      <c r="E97" s="74" t="s">
        <v>2328</v>
      </c>
      <c r="F97" s="74"/>
      <c r="G97" s="73" t="s">
        <v>107</v>
      </c>
      <c r="H97" s="73"/>
      <c r="I97" s="73"/>
      <c r="J97" s="73"/>
      <c r="K97" s="73" t="s">
        <v>2327</v>
      </c>
    </row>
    <row r="98" spans="1:11" ht="75">
      <c r="A98" s="82">
        <v>49</v>
      </c>
      <c r="B98" s="71" t="s">
        <v>0</v>
      </c>
      <c r="C98" s="71"/>
      <c r="D98" s="71" t="s">
        <v>2325</v>
      </c>
      <c r="E98" s="72" t="s">
        <v>2329</v>
      </c>
      <c r="F98" s="72"/>
      <c r="G98" s="71" t="s">
        <v>107</v>
      </c>
      <c r="H98" s="71"/>
      <c r="I98" s="71"/>
      <c r="J98" s="71"/>
      <c r="K98" s="79" t="s">
        <v>2282</v>
      </c>
    </row>
    <row r="99" spans="1:11" ht="75">
      <c r="A99" s="83">
        <v>49</v>
      </c>
      <c r="B99" s="73" t="s">
        <v>391</v>
      </c>
      <c r="C99" s="73"/>
      <c r="D99" s="73" t="s">
        <v>2325</v>
      </c>
      <c r="E99" s="74" t="s">
        <v>2330</v>
      </c>
      <c r="F99" s="74"/>
      <c r="G99" s="73" t="s">
        <v>107</v>
      </c>
      <c r="H99" s="73"/>
      <c r="I99" s="73"/>
      <c r="J99" s="73"/>
      <c r="K99" s="73" t="s">
        <v>2282</v>
      </c>
    </row>
    <row r="100" spans="1:11">
      <c r="A100" s="82">
        <v>50</v>
      </c>
      <c r="B100" s="71" t="s">
        <v>0</v>
      </c>
      <c r="C100" s="71"/>
      <c r="D100" s="71" t="s">
        <v>2325</v>
      </c>
      <c r="E100" s="72" t="s">
        <v>2331</v>
      </c>
      <c r="F100" s="72"/>
      <c r="G100" s="71" t="s">
        <v>107</v>
      </c>
      <c r="H100" s="71"/>
      <c r="I100" s="71"/>
      <c r="J100" s="71"/>
      <c r="K100" s="79" t="s">
        <v>2308</v>
      </c>
    </row>
    <row r="101" spans="1:11">
      <c r="A101" s="83">
        <v>50</v>
      </c>
      <c r="B101" s="73" t="s">
        <v>391</v>
      </c>
      <c r="C101" s="73"/>
      <c r="D101" s="73" t="s">
        <v>2325</v>
      </c>
      <c r="E101" s="74" t="s">
        <v>2332</v>
      </c>
      <c r="F101" s="74"/>
      <c r="G101" s="73" t="s">
        <v>107</v>
      </c>
      <c r="H101" s="73"/>
      <c r="I101" s="73"/>
      <c r="J101" s="73"/>
      <c r="K101" s="73" t="s">
        <v>2308</v>
      </c>
    </row>
    <row r="102" spans="1:11">
      <c r="A102" s="82">
        <v>51</v>
      </c>
      <c r="B102" s="71" t="s">
        <v>0</v>
      </c>
      <c r="C102" s="71"/>
      <c r="D102" s="71" t="s">
        <v>2325</v>
      </c>
      <c r="E102" s="72" t="s">
        <v>2333</v>
      </c>
      <c r="F102" s="72"/>
      <c r="G102" s="71" t="s">
        <v>107</v>
      </c>
      <c r="H102" s="71"/>
      <c r="I102" s="71"/>
      <c r="J102" s="71"/>
      <c r="K102" s="79" t="s">
        <v>2255</v>
      </c>
    </row>
    <row r="103" spans="1:11">
      <c r="A103" s="83">
        <v>51</v>
      </c>
      <c r="B103" s="73" t="s">
        <v>391</v>
      </c>
      <c r="C103" s="73"/>
      <c r="D103" s="73" t="s">
        <v>2325</v>
      </c>
      <c r="E103" s="74" t="s">
        <v>2334</v>
      </c>
      <c r="F103" s="74"/>
      <c r="G103" s="73" t="s">
        <v>107</v>
      </c>
      <c r="H103" s="73"/>
      <c r="I103" s="73"/>
      <c r="J103" s="73"/>
      <c r="K103" s="73" t="s">
        <v>2255</v>
      </c>
    </row>
    <row r="104" spans="1:11">
      <c r="A104" s="82">
        <v>52</v>
      </c>
      <c r="B104" s="71" t="s">
        <v>0</v>
      </c>
      <c r="C104" s="71"/>
      <c r="D104" s="71" t="s">
        <v>2325</v>
      </c>
      <c r="E104" s="72" t="s">
        <v>2335</v>
      </c>
      <c r="F104" s="72"/>
      <c r="G104" s="71" t="s">
        <v>107</v>
      </c>
      <c r="H104" s="71"/>
      <c r="I104" s="71"/>
      <c r="J104" s="71"/>
      <c r="K104" s="79" t="s">
        <v>2242</v>
      </c>
    </row>
    <row r="105" spans="1:11">
      <c r="A105" s="83">
        <v>52</v>
      </c>
      <c r="B105" s="73" t="s">
        <v>391</v>
      </c>
      <c r="C105" s="73"/>
      <c r="D105" s="73" t="s">
        <v>2325</v>
      </c>
      <c r="E105" s="74" t="s">
        <v>2336</v>
      </c>
      <c r="F105" s="74"/>
      <c r="G105" s="73" t="s">
        <v>107</v>
      </c>
      <c r="H105" s="73"/>
      <c r="I105" s="73"/>
      <c r="J105" s="73"/>
      <c r="K105" s="73" t="s">
        <v>2242</v>
      </c>
    </row>
    <row r="106" spans="1:11">
      <c r="A106" s="82">
        <v>53</v>
      </c>
      <c r="B106" s="71" t="s">
        <v>0</v>
      </c>
      <c r="C106" s="71"/>
      <c r="D106" s="71" t="s">
        <v>2325</v>
      </c>
      <c r="E106" s="72" t="s">
        <v>2337</v>
      </c>
      <c r="F106" s="72"/>
      <c r="G106" s="71" t="s">
        <v>107</v>
      </c>
      <c r="H106" s="71"/>
      <c r="I106" s="71"/>
      <c r="J106" s="71"/>
      <c r="K106" s="79" t="s">
        <v>2338</v>
      </c>
    </row>
    <row r="107" spans="1:11">
      <c r="A107" s="83">
        <v>53</v>
      </c>
      <c r="B107" s="73" t="s">
        <v>391</v>
      </c>
      <c r="C107" s="73"/>
      <c r="D107" s="73" t="s">
        <v>2325</v>
      </c>
      <c r="E107" s="74" t="s">
        <v>2339</v>
      </c>
      <c r="F107" s="74"/>
      <c r="G107" s="73" t="s">
        <v>107</v>
      </c>
      <c r="H107" s="73"/>
      <c r="I107" s="73"/>
      <c r="J107" s="73"/>
      <c r="K107" s="73" t="s">
        <v>2338</v>
      </c>
    </row>
    <row r="108" spans="1:11" ht="30">
      <c r="A108" s="82">
        <v>54</v>
      </c>
      <c r="B108" s="71" t="s">
        <v>0</v>
      </c>
      <c r="C108" s="71"/>
      <c r="D108" s="71" t="s">
        <v>2325</v>
      </c>
      <c r="E108" s="72" t="s">
        <v>2340</v>
      </c>
      <c r="F108" s="72"/>
      <c r="G108" s="71" t="s">
        <v>107</v>
      </c>
      <c r="H108" s="71"/>
      <c r="I108" s="71"/>
      <c r="J108" s="71"/>
      <c r="K108" s="79" t="s">
        <v>2301</v>
      </c>
    </row>
    <row r="109" spans="1:11" ht="30">
      <c r="A109" s="83">
        <v>54</v>
      </c>
      <c r="B109" s="73" t="s">
        <v>391</v>
      </c>
      <c r="C109" s="73"/>
      <c r="D109" s="73" t="s">
        <v>2325</v>
      </c>
      <c r="E109" s="74" t="s">
        <v>2341</v>
      </c>
      <c r="F109" s="74"/>
      <c r="G109" s="73" t="s">
        <v>107</v>
      </c>
      <c r="H109" s="73"/>
      <c r="I109" s="73"/>
      <c r="J109" s="73"/>
      <c r="K109" s="73" t="s">
        <v>2301</v>
      </c>
    </row>
    <row r="110" spans="1:11">
      <c r="A110" s="82">
        <v>55</v>
      </c>
      <c r="B110" s="71" t="s">
        <v>0</v>
      </c>
      <c r="C110" s="71"/>
      <c r="D110" s="71" t="s">
        <v>2325</v>
      </c>
      <c r="E110" s="72" t="s">
        <v>2342</v>
      </c>
      <c r="F110" s="72"/>
      <c r="G110" s="71" t="s">
        <v>107</v>
      </c>
      <c r="H110" s="71"/>
      <c r="I110" s="71"/>
      <c r="J110" s="71"/>
      <c r="K110" s="79" t="s">
        <v>2179</v>
      </c>
    </row>
    <row r="111" spans="1:11">
      <c r="A111" s="83">
        <v>55</v>
      </c>
      <c r="B111" s="73" t="s">
        <v>391</v>
      </c>
      <c r="C111" s="73"/>
      <c r="D111" s="73" t="s">
        <v>2325</v>
      </c>
      <c r="E111" s="74" t="s">
        <v>2343</v>
      </c>
      <c r="F111" s="74"/>
      <c r="G111" s="73" t="s">
        <v>107</v>
      </c>
      <c r="H111" s="73"/>
      <c r="I111" s="73"/>
      <c r="J111" s="73"/>
      <c r="K111" s="73" t="s">
        <v>2179</v>
      </c>
    </row>
    <row r="112" spans="1:11">
      <c r="A112" s="82">
        <v>56</v>
      </c>
      <c r="B112" s="71" t="s">
        <v>0</v>
      </c>
      <c r="C112" s="71"/>
      <c r="D112" s="71" t="s">
        <v>2325</v>
      </c>
      <c r="E112" s="72" t="s">
        <v>2344</v>
      </c>
      <c r="F112" s="72"/>
      <c r="G112" s="71" t="s">
        <v>107</v>
      </c>
      <c r="H112" s="71"/>
      <c r="I112" s="71"/>
      <c r="J112" s="71"/>
      <c r="K112" s="79" t="s">
        <v>2345</v>
      </c>
    </row>
    <row r="113" spans="1:11">
      <c r="A113" s="83">
        <v>56</v>
      </c>
      <c r="B113" s="73" t="s">
        <v>391</v>
      </c>
      <c r="C113" s="73"/>
      <c r="D113" s="73" t="s">
        <v>2325</v>
      </c>
      <c r="E113" s="74" t="s">
        <v>2346</v>
      </c>
      <c r="F113" s="74"/>
      <c r="G113" s="73" t="s">
        <v>107</v>
      </c>
      <c r="H113" s="73"/>
      <c r="I113" s="73"/>
      <c r="J113" s="73"/>
      <c r="K113" s="73" t="s">
        <v>2345</v>
      </c>
    </row>
    <row r="114" spans="1:11" ht="45">
      <c r="A114" s="82">
        <v>57</v>
      </c>
      <c r="B114" s="71" t="s">
        <v>0</v>
      </c>
      <c r="C114" s="71"/>
      <c r="D114" s="71" t="s">
        <v>2347</v>
      </c>
      <c r="E114" s="72" t="s">
        <v>2348</v>
      </c>
      <c r="F114" s="72"/>
      <c r="G114" s="71" t="s">
        <v>107</v>
      </c>
      <c r="H114" s="71"/>
      <c r="I114" s="71"/>
      <c r="J114" s="71"/>
      <c r="K114" s="79" t="s">
        <v>2259</v>
      </c>
    </row>
    <row r="115" spans="1:11" ht="45">
      <c r="A115" s="83">
        <v>57</v>
      </c>
      <c r="B115" s="73" t="s">
        <v>391</v>
      </c>
      <c r="C115" s="73"/>
      <c r="D115" s="73" t="s">
        <v>2347</v>
      </c>
      <c r="E115" s="74" t="s">
        <v>2349</v>
      </c>
      <c r="F115" s="74"/>
      <c r="G115" s="73" t="s">
        <v>107</v>
      </c>
      <c r="H115" s="73"/>
      <c r="I115" s="73"/>
      <c r="J115" s="73"/>
      <c r="K115" s="73" t="s">
        <v>2259</v>
      </c>
    </row>
    <row r="116" spans="1:11" ht="30">
      <c r="A116" s="82">
        <v>58</v>
      </c>
      <c r="B116" s="71" t="s">
        <v>0</v>
      </c>
      <c r="C116" s="71"/>
      <c r="D116" s="71" t="s">
        <v>2350</v>
      </c>
      <c r="E116" s="72" t="s">
        <v>2351</v>
      </c>
      <c r="F116" s="72"/>
      <c r="G116" s="71" t="s">
        <v>107</v>
      </c>
      <c r="H116" s="71"/>
      <c r="I116" s="71"/>
      <c r="J116" s="71"/>
      <c r="K116" s="79" t="s">
        <v>2282</v>
      </c>
    </row>
    <row r="117" spans="1:11" ht="30">
      <c r="A117" s="83">
        <v>58</v>
      </c>
      <c r="B117" s="73" t="s">
        <v>391</v>
      </c>
      <c r="C117" s="73"/>
      <c r="D117" s="73" t="s">
        <v>2350</v>
      </c>
      <c r="E117" s="74" t="s">
        <v>2352</v>
      </c>
      <c r="F117" s="74"/>
      <c r="G117" s="73" t="s">
        <v>107</v>
      </c>
      <c r="H117" s="73"/>
      <c r="I117" s="73"/>
      <c r="J117" s="73"/>
      <c r="K117" s="73" t="s">
        <v>2282</v>
      </c>
    </row>
    <row r="118" spans="1:11" ht="75">
      <c r="A118" s="82">
        <v>59</v>
      </c>
      <c r="B118" s="71" t="s">
        <v>0</v>
      </c>
      <c r="C118" s="71"/>
      <c r="D118" s="71" t="s">
        <v>2350</v>
      </c>
      <c r="E118" s="72" t="s">
        <v>2353</v>
      </c>
      <c r="F118" s="72"/>
      <c r="G118" s="71" t="s">
        <v>107</v>
      </c>
      <c r="H118" s="71"/>
      <c r="I118" s="71"/>
      <c r="J118" s="71"/>
      <c r="K118" s="79" t="s">
        <v>2282</v>
      </c>
    </row>
    <row r="119" spans="1:11" ht="75">
      <c r="A119" s="83">
        <v>59</v>
      </c>
      <c r="B119" s="73" t="s">
        <v>391</v>
      </c>
      <c r="C119" s="73"/>
      <c r="D119" s="73" t="s">
        <v>2350</v>
      </c>
      <c r="E119" s="74" t="s">
        <v>2354</v>
      </c>
      <c r="F119" s="74"/>
      <c r="G119" s="73" t="s">
        <v>107</v>
      </c>
      <c r="H119" s="73"/>
      <c r="I119" s="73"/>
      <c r="J119" s="73"/>
      <c r="K119" s="73" t="s">
        <v>2282</v>
      </c>
    </row>
    <row r="120" spans="1:11">
      <c r="A120" s="82">
        <v>60</v>
      </c>
      <c r="B120" s="71" t="s">
        <v>0</v>
      </c>
      <c r="C120" s="71"/>
      <c r="D120" s="71" t="s">
        <v>2350</v>
      </c>
      <c r="E120" s="72" t="s">
        <v>2355</v>
      </c>
      <c r="F120" s="72"/>
      <c r="G120" s="71" t="s">
        <v>107</v>
      </c>
      <c r="H120" s="71"/>
      <c r="I120" s="71"/>
      <c r="J120" s="71"/>
      <c r="K120" s="79" t="s">
        <v>2356</v>
      </c>
    </row>
    <row r="121" spans="1:11">
      <c r="A121" s="83">
        <v>60</v>
      </c>
      <c r="B121" s="73" t="s">
        <v>391</v>
      </c>
      <c r="C121" s="73"/>
      <c r="D121" s="73" t="s">
        <v>2350</v>
      </c>
      <c r="E121" s="74" t="s">
        <v>2357</v>
      </c>
      <c r="F121" s="74"/>
      <c r="G121" s="73" t="s">
        <v>107</v>
      </c>
      <c r="H121" s="73"/>
      <c r="I121" s="73"/>
      <c r="J121" s="73"/>
      <c r="K121" s="73" t="s">
        <v>2356</v>
      </c>
    </row>
    <row r="122" spans="1:11">
      <c r="A122" s="82">
        <v>61</v>
      </c>
      <c r="B122" s="71" t="s">
        <v>0</v>
      </c>
      <c r="C122" s="71"/>
      <c r="D122" s="71" t="s">
        <v>2350</v>
      </c>
      <c r="E122" s="72" t="s">
        <v>2358</v>
      </c>
      <c r="F122" s="72"/>
      <c r="G122" s="71" t="s">
        <v>107</v>
      </c>
      <c r="H122" s="71"/>
      <c r="I122" s="71"/>
      <c r="J122" s="71"/>
      <c r="K122" s="79" t="s">
        <v>2249</v>
      </c>
    </row>
    <row r="123" spans="1:11">
      <c r="A123" s="83">
        <v>61</v>
      </c>
      <c r="B123" s="73" t="s">
        <v>391</v>
      </c>
      <c r="C123" s="73"/>
      <c r="D123" s="73" t="s">
        <v>2350</v>
      </c>
      <c r="E123" s="74" t="s">
        <v>2359</v>
      </c>
      <c r="F123" s="74"/>
      <c r="G123" s="73" t="s">
        <v>107</v>
      </c>
      <c r="H123" s="73"/>
      <c r="I123" s="73"/>
      <c r="J123" s="73"/>
      <c r="K123" s="73" t="s">
        <v>2249</v>
      </c>
    </row>
    <row r="124" spans="1:11">
      <c r="A124" s="82">
        <v>62</v>
      </c>
      <c r="B124" s="71" t="s">
        <v>0</v>
      </c>
      <c r="C124" s="71"/>
      <c r="D124" s="71" t="s">
        <v>2350</v>
      </c>
      <c r="E124" s="72" t="s">
        <v>2360</v>
      </c>
      <c r="F124" s="72"/>
      <c r="G124" s="71" t="s">
        <v>107</v>
      </c>
      <c r="H124" s="71"/>
      <c r="I124" s="71"/>
      <c r="J124" s="71"/>
      <c r="K124" s="79" t="s">
        <v>2255</v>
      </c>
    </row>
    <row r="125" spans="1:11">
      <c r="A125" s="83">
        <v>62</v>
      </c>
      <c r="B125" s="73" t="s">
        <v>391</v>
      </c>
      <c r="C125" s="73"/>
      <c r="D125" s="73" t="s">
        <v>2350</v>
      </c>
      <c r="E125" s="74" t="s">
        <v>2361</v>
      </c>
      <c r="F125" s="74"/>
      <c r="G125" s="73" t="s">
        <v>107</v>
      </c>
      <c r="H125" s="73"/>
      <c r="I125" s="73"/>
      <c r="J125" s="73"/>
      <c r="K125" s="73" t="s">
        <v>2255</v>
      </c>
    </row>
    <row r="126" spans="1:11">
      <c r="A126" s="82">
        <v>63</v>
      </c>
      <c r="B126" s="71" t="s">
        <v>0</v>
      </c>
      <c r="C126" s="71"/>
      <c r="D126" s="71" t="s">
        <v>2350</v>
      </c>
      <c r="E126" s="72" t="s">
        <v>2261</v>
      </c>
      <c r="F126" s="72"/>
      <c r="G126" s="71" t="s">
        <v>107</v>
      </c>
      <c r="H126" s="71"/>
      <c r="I126" s="71"/>
      <c r="J126" s="71"/>
      <c r="K126" s="79" t="s">
        <v>2259</v>
      </c>
    </row>
    <row r="127" spans="1:11">
      <c r="A127" s="83">
        <v>63</v>
      </c>
      <c r="B127" s="73" t="s">
        <v>391</v>
      </c>
      <c r="C127" s="73"/>
      <c r="D127" s="73" t="s">
        <v>2350</v>
      </c>
      <c r="E127" s="74" t="s">
        <v>2258</v>
      </c>
      <c r="F127" s="74"/>
      <c r="G127" s="73" t="s">
        <v>107</v>
      </c>
      <c r="H127" s="73"/>
      <c r="I127" s="73"/>
      <c r="J127" s="73"/>
      <c r="K127" s="73" t="s">
        <v>2259</v>
      </c>
    </row>
    <row r="128" spans="1:11">
      <c r="A128" s="82">
        <v>64</v>
      </c>
      <c r="B128" s="71" t="s">
        <v>0</v>
      </c>
      <c r="C128" s="71"/>
      <c r="D128" s="71" t="s">
        <v>2350</v>
      </c>
      <c r="E128" s="72" t="s">
        <v>2362</v>
      </c>
      <c r="F128" s="72"/>
      <c r="G128" s="71" t="s">
        <v>107</v>
      </c>
      <c r="H128" s="71"/>
      <c r="I128" s="71"/>
      <c r="J128" s="71"/>
      <c r="K128" s="79" t="s">
        <v>2242</v>
      </c>
    </row>
    <row r="129" spans="1:11">
      <c r="A129" s="83">
        <v>64</v>
      </c>
      <c r="B129" s="73" t="s">
        <v>391</v>
      </c>
      <c r="C129" s="73"/>
      <c r="D129" s="73" t="s">
        <v>2350</v>
      </c>
      <c r="E129" s="74" t="s">
        <v>2363</v>
      </c>
      <c r="F129" s="74"/>
      <c r="G129" s="73" t="s">
        <v>107</v>
      </c>
      <c r="H129" s="73"/>
      <c r="I129" s="73"/>
      <c r="J129" s="73"/>
      <c r="K129" s="73" t="s">
        <v>2242</v>
      </c>
    </row>
    <row r="130" spans="1:11">
      <c r="A130" s="82">
        <v>65</v>
      </c>
      <c r="B130" s="71" t="s">
        <v>0</v>
      </c>
      <c r="C130" s="71"/>
      <c r="D130" s="71" t="s">
        <v>2350</v>
      </c>
      <c r="E130" s="72" t="s">
        <v>2290</v>
      </c>
      <c r="F130" s="72"/>
      <c r="G130" s="71" t="s">
        <v>107</v>
      </c>
      <c r="H130" s="71"/>
      <c r="I130" s="71"/>
      <c r="J130" s="71"/>
      <c r="K130" s="79" t="s">
        <v>2288</v>
      </c>
    </row>
    <row r="131" spans="1:11">
      <c r="A131" s="83">
        <v>65</v>
      </c>
      <c r="B131" s="73" t="s">
        <v>391</v>
      </c>
      <c r="C131" s="73"/>
      <c r="D131" s="73" t="s">
        <v>2350</v>
      </c>
      <c r="E131" s="74" t="s">
        <v>2287</v>
      </c>
      <c r="F131" s="74"/>
      <c r="G131" s="73" t="s">
        <v>107</v>
      </c>
      <c r="H131" s="73"/>
      <c r="I131" s="73"/>
      <c r="J131" s="73"/>
      <c r="K131" s="73" t="s">
        <v>2288</v>
      </c>
    </row>
    <row r="132" spans="1:11">
      <c r="A132" s="82">
        <v>66</v>
      </c>
      <c r="B132" s="71" t="s">
        <v>0</v>
      </c>
      <c r="C132" s="71"/>
      <c r="D132" s="71" t="s">
        <v>2350</v>
      </c>
      <c r="E132" s="72" t="s">
        <v>2364</v>
      </c>
      <c r="F132" s="72"/>
      <c r="G132" s="71" t="s">
        <v>107</v>
      </c>
      <c r="H132" s="71"/>
      <c r="I132" s="71"/>
      <c r="J132" s="71"/>
      <c r="K132" s="79" t="s">
        <v>2365</v>
      </c>
    </row>
    <row r="133" spans="1:11">
      <c r="A133" s="83">
        <v>66</v>
      </c>
      <c r="B133" s="73" t="s">
        <v>391</v>
      </c>
      <c r="C133" s="73"/>
      <c r="D133" s="73" t="s">
        <v>2350</v>
      </c>
      <c r="E133" s="74" t="s">
        <v>2366</v>
      </c>
      <c r="F133" s="74"/>
      <c r="G133" s="73" t="s">
        <v>107</v>
      </c>
      <c r="H133" s="73"/>
      <c r="I133" s="73"/>
      <c r="J133" s="73"/>
      <c r="K133" s="73" t="s">
        <v>2365</v>
      </c>
    </row>
    <row r="134" spans="1:11">
      <c r="A134" s="82">
        <v>67</v>
      </c>
      <c r="B134" s="71" t="s">
        <v>0</v>
      </c>
      <c r="C134" s="71"/>
      <c r="D134" s="71" t="s">
        <v>2350</v>
      </c>
      <c r="E134" s="72" t="s">
        <v>2367</v>
      </c>
      <c r="F134" s="72"/>
      <c r="G134" s="71" t="s">
        <v>107</v>
      </c>
      <c r="H134" s="71"/>
      <c r="I134" s="71"/>
      <c r="J134" s="71"/>
      <c r="K134" s="79" t="s">
        <v>2365</v>
      </c>
    </row>
    <row r="135" spans="1:11">
      <c r="A135" s="83">
        <v>67</v>
      </c>
      <c r="B135" s="73" t="s">
        <v>391</v>
      </c>
      <c r="C135" s="73"/>
      <c r="D135" s="73" t="s">
        <v>2350</v>
      </c>
      <c r="E135" s="74" t="s">
        <v>2368</v>
      </c>
      <c r="F135" s="74"/>
      <c r="G135" s="73" t="s">
        <v>107</v>
      </c>
      <c r="H135" s="73"/>
      <c r="I135" s="73"/>
      <c r="J135" s="73"/>
      <c r="K135" s="73" t="s">
        <v>2365</v>
      </c>
    </row>
    <row r="136" spans="1:11">
      <c r="A136" s="82">
        <v>68</v>
      </c>
      <c r="B136" s="71" t="s">
        <v>0</v>
      </c>
      <c r="C136" s="71"/>
      <c r="D136" s="71" t="s">
        <v>2350</v>
      </c>
      <c r="E136" s="72" t="s">
        <v>2369</v>
      </c>
      <c r="F136" s="72"/>
      <c r="G136" s="71" t="s">
        <v>107</v>
      </c>
      <c r="H136" s="71"/>
      <c r="I136" s="71"/>
      <c r="J136" s="71"/>
      <c r="K136" s="79" t="s">
        <v>2193</v>
      </c>
    </row>
    <row r="137" spans="1:11">
      <c r="A137" s="83">
        <v>68</v>
      </c>
      <c r="B137" s="73" t="s">
        <v>391</v>
      </c>
      <c r="C137" s="73"/>
      <c r="D137" s="73" t="s">
        <v>2350</v>
      </c>
      <c r="E137" s="74" t="s">
        <v>2370</v>
      </c>
      <c r="F137" s="74"/>
      <c r="G137" s="73" t="s">
        <v>107</v>
      </c>
      <c r="H137" s="73"/>
      <c r="I137" s="73"/>
      <c r="J137" s="73"/>
      <c r="K137" s="73" t="s">
        <v>2193</v>
      </c>
    </row>
    <row r="138" spans="1:11">
      <c r="A138" s="82">
        <v>69</v>
      </c>
      <c r="B138" s="71" t="s">
        <v>0</v>
      </c>
      <c r="C138" s="71"/>
      <c r="D138" s="71" t="s">
        <v>2371</v>
      </c>
      <c r="E138" s="72" t="s">
        <v>2372</v>
      </c>
      <c r="F138" s="72"/>
      <c r="G138" s="71" t="s">
        <v>107</v>
      </c>
      <c r="H138" s="71"/>
      <c r="I138" s="71"/>
      <c r="J138" s="71"/>
      <c r="K138" s="79" t="s">
        <v>2255</v>
      </c>
    </row>
    <row r="139" spans="1:11">
      <c r="A139" s="83">
        <v>69</v>
      </c>
      <c r="B139" s="73" t="s">
        <v>391</v>
      </c>
      <c r="C139" s="73"/>
      <c r="D139" s="73" t="s">
        <v>2371</v>
      </c>
      <c r="E139" s="74" t="s">
        <v>2373</v>
      </c>
      <c r="F139" s="74"/>
      <c r="G139" s="73" t="s">
        <v>107</v>
      </c>
      <c r="H139" s="73"/>
      <c r="I139" s="73"/>
      <c r="J139" s="73"/>
      <c r="K139" s="73" t="s">
        <v>2255</v>
      </c>
    </row>
    <row r="140" spans="1:11">
      <c r="A140" s="82">
        <v>70</v>
      </c>
      <c r="B140" s="71" t="s">
        <v>0</v>
      </c>
      <c r="C140" s="71"/>
      <c r="D140" s="71" t="s">
        <v>2371</v>
      </c>
      <c r="E140" s="72" t="s">
        <v>2374</v>
      </c>
      <c r="F140" s="72"/>
      <c r="G140" s="71" t="s">
        <v>107</v>
      </c>
      <c r="H140" s="71"/>
      <c r="I140" s="71"/>
      <c r="J140" s="71"/>
      <c r="K140" s="79" t="s">
        <v>2242</v>
      </c>
    </row>
    <row r="141" spans="1:11">
      <c r="A141" s="83">
        <v>70</v>
      </c>
      <c r="B141" s="73" t="s">
        <v>391</v>
      </c>
      <c r="C141" s="73"/>
      <c r="D141" s="73" t="s">
        <v>2371</v>
      </c>
      <c r="E141" s="74" t="s">
        <v>2375</v>
      </c>
      <c r="F141" s="74"/>
      <c r="G141" s="73" t="s">
        <v>107</v>
      </c>
      <c r="H141" s="73"/>
      <c r="I141" s="73"/>
      <c r="J141" s="73"/>
      <c r="K141" s="73" t="s">
        <v>2242</v>
      </c>
    </row>
    <row r="142" spans="1:11" ht="60">
      <c r="A142" s="82">
        <v>71</v>
      </c>
      <c r="B142" s="71" t="s">
        <v>0</v>
      </c>
      <c r="C142" s="71"/>
      <c r="D142" s="71" t="s">
        <v>2376</v>
      </c>
      <c r="E142" s="72" t="s">
        <v>2377</v>
      </c>
      <c r="F142" s="72"/>
      <c r="G142" s="71" t="s">
        <v>107</v>
      </c>
      <c r="H142" s="71"/>
      <c r="I142" s="71"/>
      <c r="J142" s="71"/>
      <c r="K142" s="79" t="s">
        <v>2242</v>
      </c>
    </row>
    <row r="143" spans="1:11" ht="45">
      <c r="A143" s="83">
        <v>71</v>
      </c>
      <c r="B143" s="73" t="s">
        <v>391</v>
      </c>
      <c r="C143" s="73"/>
      <c r="D143" s="73" t="s">
        <v>2376</v>
      </c>
      <c r="E143" s="74" t="s">
        <v>2378</v>
      </c>
      <c r="F143" s="74"/>
      <c r="G143" s="73" t="s">
        <v>107</v>
      </c>
      <c r="H143" s="73"/>
      <c r="I143" s="73"/>
      <c r="J143" s="73"/>
      <c r="K143" s="73" t="s">
        <v>2242</v>
      </c>
    </row>
    <row r="144" spans="1:11">
      <c r="A144" s="82">
        <v>72</v>
      </c>
      <c r="B144" s="71" t="s">
        <v>0</v>
      </c>
      <c r="C144" s="71"/>
      <c r="D144" s="71" t="s">
        <v>2376</v>
      </c>
      <c r="E144" s="72" t="s">
        <v>2379</v>
      </c>
      <c r="F144" s="72"/>
      <c r="G144" s="71" t="s">
        <v>107</v>
      </c>
      <c r="H144" s="71"/>
      <c r="I144" s="71"/>
      <c r="J144" s="71"/>
      <c r="K144" s="79" t="s">
        <v>2249</v>
      </c>
    </row>
    <row r="145" spans="1:11">
      <c r="A145" s="83">
        <v>72</v>
      </c>
      <c r="B145" s="73" t="s">
        <v>391</v>
      </c>
      <c r="C145" s="73"/>
      <c r="D145" s="73" t="s">
        <v>2376</v>
      </c>
      <c r="E145" s="74" t="s">
        <v>2380</v>
      </c>
      <c r="F145" s="74"/>
      <c r="G145" s="73" t="s">
        <v>107</v>
      </c>
      <c r="H145" s="73"/>
      <c r="I145" s="73"/>
      <c r="J145" s="73"/>
      <c r="K145" s="73" t="s">
        <v>2249</v>
      </c>
    </row>
    <row r="146" spans="1:11" ht="30">
      <c r="A146" s="82">
        <v>73</v>
      </c>
      <c r="B146" s="71" t="s">
        <v>0</v>
      </c>
      <c r="C146" s="71"/>
      <c r="D146" s="71" t="s">
        <v>2376</v>
      </c>
      <c r="E146" s="72" t="s">
        <v>2381</v>
      </c>
      <c r="F146" s="72"/>
      <c r="G146" s="71" t="s">
        <v>107</v>
      </c>
      <c r="H146" s="71"/>
      <c r="I146" s="71"/>
      <c r="J146" s="71"/>
      <c r="K146" s="79" t="s">
        <v>2382</v>
      </c>
    </row>
    <row r="147" spans="1:11" ht="30">
      <c r="A147" s="83">
        <v>73</v>
      </c>
      <c r="B147" s="73" t="s">
        <v>391</v>
      </c>
      <c r="C147" s="73"/>
      <c r="D147" s="73" t="s">
        <v>2376</v>
      </c>
      <c r="E147" s="74" t="s">
        <v>2383</v>
      </c>
      <c r="F147" s="74"/>
      <c r="G147" s="73" t="s">
        <v>107</v>
      </c>
      <c r="H147" s="73"/>
      <c r="I147" s="73"/>
      <c r="J147" s="73"/>
      <c r="K147" s="73" t="s">
        <v>2382</v>
      </c>
    </row>
    <row r="148" spans="1:11">
      <c r="A148" s="82">
        <v>74</v>
      </c>
      <c r="B148" s="71" t="s">
        <v>0</v>
      </c>
      <c r="C148" s="71"/>
      <c r="D148" s="71" t="s">
        <v>2376</v>
      </c>
      <c r="E148" s="72" t="s">
        <v>2280</v>
      </c>
      <c r="F148" s="72"/>
      <c r="G148" s="71" t="s">
        <v>107</v>
      </c>
      <c r="H148" s="71"/>
      <c r="I148" s="71"/>
      <c r="J148" s="71"/>
      <c r="K148" s="79" t="s">
        <v>2279</v>
      </c>
    </row>
    <row r="149" spans="1:11">
      <c r="A149" s="83">
        <v>74</v>
      </c>
      <c r="B149" s="73" t="s">
        <v>391</v>
      </c>
      <c r="C149" s="73"/>
      <c r="D149" s="73" t="s">
        <v>2376</v>
      </c>
      <c r="E149" s="74" t="s">
        <v>2278</v>
      </c>
      <c r="F149" s="74"/>
      <c r="G149" s="73" t="s">
        <v>107</v>
      </c>
      <c r="H149" s="73"/>
      <c r="I149" s="73"/>
      <c r="J149" s="73"/>
      <c r="K149" s="73" t="s">
        <v>2279</v>
      </c>
    </row>
    <row r="150" spans="1:11">
      <c r="A150" s="82">
        <v>75</v>
      </c>
      <c r="B150" s="71" t="s">
        <v>0</v>
      </c>
      <c r="C150" s="71"/>
      <c r="D150" s="71" t="s">
        <v>2376</v>
      </c>
      <c r="E150" s="72" t="s">
        <v>2384</v>
      </c>
      <c r="F150" s="72"/>
      <c r="G150" s="71" t="s">
        <v>107</v>
      </c>
      <c r="H150" s="71"/>
      <c r="I150" s="71"/>
      <c r="J150" s="71"/>
      <c r="K150" s="79" t="s">
        <v>2282</v>
      </c>
    </row>
    <row r="151" spans="1:11">
      <c r="A151" s="83">
        <v>75</v>
      </c>
      <c r="B151" s="73" t="s">
        <v>391</v>
      </c>
      <c r="C151" s="73"/>
      <c r="D151" s="73" t="s">
        <v>2376</v>
      </c>
      <c r="E151" s="74" t="s">
        <v>2385</v>
      </c>
      <c r="F151" s="74"/>
      <c r="G151" s="73" t="s">
        <v>107</v>
      </c>
      <c r="H151" s="73"/>
      <c r="I151" s="73"/>
      <c r="J151" s="73"/>
      <c r="K151" s="73" t="s">
        <v>2282</v>
      </c>
    </row>
    <row r="152" spans="1:11">
      <c r="A152" s="82">
        <v>76</v>
      </c>
      <c r="B152" s="71" t="s">
        <v>0</v>
      </c>
      <c r="C152" s="71"/>
      <c r="D152" s="71" t="s">
        <v>2376</v>
      </c>
      <c r="E152" s="72" t="s">
        <v>2386</v>
      </c>
      <c r="F152" s="72"/>
      <c r="G152" s="71" t="s">
        <v>107</v>
      </c>
      <c r="H152" s="71"/>
      <c r="I152" s="71"/>
      <c r="J152" s="71"/>
      <c r="K152" s="79" t="s">
        <v>2365</v>
      </c>
    </row>
    <row r="153" spans="1:11">
      <c r="A153" s="83">
        <v>76</v>
      </c>
      <c r="B153" s="73" t="s">
        <v>391</v>
      </c>
      <c r="C153" s="73"/>
      <c r="D153" s="73" t="s">
        <v>2376</v>
      </c>
      <c r="E153" s="74" t="s">
        <v>2387</v>
      </c>
      <c r="F153" s="74"/>
      <c r="G153" s="73" t="s">
        <v>107</v>
      </c>
      <c r="H153" s="73"/>
      <c r="I153" s="73"/>
      <c r="J153" s="73"/>
      <c r="K153" s="73" t="s">
        <v>2365</v>
      </c>
    </row>
    <row r="154" spans="1:11">
      <c r="A154" s="82">
        <v>77</v>
      </c>
      <c r="B154" s="71" t="s">
        <v>0</v>
      </c>
      <c r="C154" s="71"/>
      <c r="D154" s="71" t="s">
        <v>2376</v>
      </c>
      <c r="E154" s="72" t="s">
        <v>2388</v>
      </c>
      <c r="F154" s="72"/>
      <c r="G154" s="71" t="s">
        <v>107</v>
      </c>
      <c r="H154" s="71"/>
      <c r="I154" s="71"/>
      <c r="J154" s="71"/>
      <c r="K154" s="79" t="s">
        <v>2193</v>
      </c>
    </row>
    <row r="155" spans="1:11">
      <c r="A155" s="83">
        <v>77</v>
      </c>
      <c r="B155" s="73" t="s">
        <v>391</v>
      </c>
      <c r="C155" s="73"/>
      <c r="D155" s="73" t="s">
        <v>2376</v>
      </c>
      <c r="E155" s="74" t="s">
        <v>2389</v>
      </c>
      <c r="F155" s="74"/>
      <c r="G155" s="73" t="s">
        <v>107</v>
      </c>
      <c r="H155" s="73"/>
      <c r="I155" s="73"/>
      <c r="J155" s="73"/>
      <c r="K155" s="73" t="s">
        <v>2193</v>
      </c>
    </row>
    <row r="156" spans="1:11">
      <c r="A156" s="82">
        <v>78</v>
      </c>
      <c r="B156" s="71" t="s">
        <v>0</v>
      </c>
      <c r="C156" s="71"/>
      <c r="D156" s="71" t="s">
        <v>2376</v>
      </c>
      <c r="E156" s="72" t="s">
        <v>2390</v>
      </c>
      <c r="F156" s="72"/>
      <c r="G156" s="71" t="s">
        <v>107</v>
      </c>
      <c r="H156" s="71"/>
      <c r="I156" s="71"/>
      <c r="J156" s="71"/>
      <c r="K156" s="79" t="s">
        <v>2218</v>
      </c>
    </row>
    <row r="157" spans="1:11">
      <c r="A157" s="83">
        <v>78</v>
      </c>
      <c r="B157" s="73" t="s">
        <v>391</v>
      </c>
      <c r="C157" s="73"/>
      <c r="D157" s="73" t="s">
        <v>2376</v>
      </c>
      <c r="E157" s="74" t="s">
        <v>2391</v>
      </c>
      <c r="F157" s="74"/>
      <c r="G157" s="73" t="s">
        <v>107</v>
      </c>
      <c r="H157" s="73"/>
      <c r="I157" s="73"/>
      <c r="J157" s="73"/>
      <c r="K157" s="73" t="s">
        <v>2218</v>
      </c>
    </row>
    <row r="158" spans="1:11">
      <c r="A158" s="82">
        <v>79</v>
      </c>
      <c r="B158" s="71" t="s">
        <v>0</v>
      </c>
      <c r="C158" s="71"/>
      <c r="D158" s="71" t="s">
        <v>2376</v>
      </c>
      <c r="E158" s="72" t="s">
        <v>2392</v>
      </c>
      <c r="F158" s="72"/>
      <c r="G158" s="71" t="s">
        <v>107</v>
      </c>
      <c r="H158" s="71"/>
      <c r="I158" s="71"/>
      <c r="J158" s="71"/>
      <c r="K158" s="78" t="s">
        <v>2155</v>
      </c>
    </row>
    <row r="159" spans="1:11">
      <c r="A159" s="83">
        <v>79</v>
      </c>
      <c r="B159" s="73" t="s">
        <v>391</v>
      </c>
      <c r="C159" s="73"/>
      <c r="D159" s="73" t="s">
        <v>2376</v>
      </c>
      <c r="E159" s="74" t="s">
        <v>2393</v>
      </c>
      <c r="F159" s="74"/>
      <c r="G159" s="73" t="s">
        <v>107</v>
      </c>
      <c r="H159" s="73"/>
      <c r="I159" s="73"/>
      <c r="J159" s="73"/>
      <c r="K159" s="73" t="s">
        <v>2155</v>
      </c>
    </row>
    <row r="160" spans="1:11">
      <c r="A160" s="82">
        <v>80</v>
      </c>
      <c r="B160" s="71" t="s">
        <v>0</v>
      </c>
      <c r="C160" s="71"/>
      <c r="D160" s="71" t="s">
        <v>2376</v>
      </c>
      <c r="E160" s="72" t="s">
        <v>2394</v>
      </c>
      <c r="F160" s="72"/>
      <c r="G160" s="71" t="s">
        <v>107</v>
      </c>
      <c r="H160" s="71"/>
      <c r="I160" s="71"/>
      <c r="J160" s="71"/>
      <c r="K160" s="79" t="s">
        <v>2365</v>
      </c>
    </row>
    <row r="161" spans="1:11">
      <c r="A161" s="83">
        <v>80</v>
      </c>
      <c r="B161" s="73" t="s">
        <v>391</v>
      </c>
      <c r="C161" s="73"/>
      <c r="D161" s="73" t="s">
        <v>2376</v>
      </c>
      <c r="E161" s="74" t="s">
        <v>2395</v>
      </c>
      <c r="F161" s="74"/>
      <c r="G161" s="73" t="s">
        <v>107</v>
      </c>
      <c r="H161" s="73"/>
      <c r="I161" s="73"/>
      <c r="J161" s="73"/>
      <c r="K161" s="73" t="s">
        <v>2365</v>
      </c>
    </row>
    <row r="162" spans="1:11">
      <c r="A162" s="82">
        <v>81</v>
      </c>
      <c r="B162" s="71" t="s">
        <v>0</v>
      </c>
      <c r="C162" s="71"/>
      <c r="D162" s="71" t="s">
        <v>2376</v>
      </c>
      <c r="E162" s="72" t="s">
        <v>2396</v>
      </c>
      <c r="F162" s="72"/>
      <c r="G162" s="71" t="s">
        <v>107</v>
      </c>
      <c r="H162" s="71"/>
      <c r="I162" s="71"/>
      <c r="J162" s="71"/>
      <c r="K162" s="79" t="s">
        <v>2397</v>
      </c>
    </row>
    <row r="163" spans="1:11">
      <c r="A163" s="83">
        <v>81</v>
      </c>
      <c r="B163" s="73" t="s">
        <v>391</v>
      </c>
      <c r="C163" s="73"/>
      <c r="D163" s="73" t="s">
        <v>2376</v>
      </c>
      <c r="E163" s="74" t="s">
        <v>2398</v>
      </c>
      <c r="F163" s="74"/>
      <c r="G163" s="73" t="s">
        <v>107</v>
      </c>
      <c r="H163" s="73"/>
      <c r="I163" s="73"/>
      <c r="J163" s="73"/>
      <c r="K163" s="73" t="s">
        <v>2397</v>
      </c>
    </row>
    <row r="164" spans="1:11">
      <c r="A164" s="82">
        <v>82</v>
      </c>
      <c r="B164" s="71" t="s">
        <v>0</v>
      </c>
      <c r="C164" s="71"/>
      <c r="D164" s="71" t="s">
        <v>2376</v>
      </c>
      <c r="E164" s="72" t="s">
        <v>2399</v>
      </c>
      <c r="F164" s="72"/>
      <c r="G164" s="71" t="s">
        <v>107</v>
      </c>
      <c r="H164" s="71"/>
      <c r="I164" s="71"/>
      <c r="J164" s="71"/>
      <c r="K164" s="79" t="s">
        <v>2288</v>
      </c>
    </row>
    <row r="165" spans="1:11">
      <c r="A165" s="83">
        <v>82</v>
      </c>
      <c r="B165" s="73" t="s">
        <v>391</v>
      </c>
      <c r="C165" s="73"/>
      <c r="D165" s="73" t="s">
        <v>2376</v>
      </c>
      <c r="E165" s="74" t="s">
        <v>2400</v>
      </c>
      <c r="F165" s="74"/>
      <c r="G165" s="73" t="s">
        <v>107</v>
      </c>
      <c r="H165" s="73"/>
      <c r="I165" s="73"/>
      <c r="J165" s="73"/>
      <c r="K165" s="73" t="s">
        <v>2288</v>
      </c>
    </row>
    <row r="166" spans="1:11" ht="30">
      <c r="A166" s="82">
        <v>83</v>
      </c>
      <c r="B166" s="71" t="s">
        <v>0</v>
      </c>
      <c r="C166" s="71"/>
      <c r="D166" s="71" t="s">
        <v>2376</v>
      </c>
      <c r="E166" s="72" t="s">
        <v>2401</v>
      </c>
      <c r="F166" s="72"/>
      <c r="G166" s="71" t="s">
        <v>107</v>
      </c>
      <c r="H166" s="71" t="s">
        <v>534</v>
      </c>
      <c r="I166" s="71" t="s">
        <v>2402</v>
      </c>
      <c r="J166" s="71"/>
      <c r="K166" s="79" t="s">
        <v>2403</v>
      </c>
    </row>
    <row r="167" spans="1:11">
      <c r="A167" s="83">
        <v>83</v>
      </c>
      <c r="B167" s="73" t="s">
        <v>391</v>
      </c>
      <c r="C167" s="73"/>
      <c r="D167" s="73" t="s">
        <v>2376</v>
      </c>
      <c r="E167" s="74" t="s">
        <v>2404</v>
      </c>
      <c r="F167" s="74"/>
      <c r="G167" s="73" t="s">
        <v>107</v>
      </c>
      <c r="H167" s="73"/>
      <c r="I167" s="73" t="s">
        <v>2405</v>
      </c>
      <c r="J167" s="73"/>
      <c r="K167" s="73" t="s">
        <v>2403</v>
      </c>
    </row>
    <row r="168" spans="1:11">
      <c r="A168" s="82">
        <v>84</v>
      </c>
      <c r="B168" s="71" t="s">
        <v>0</v>
      </c>
      <c r="C168" s="71"/>
      <c r="D168" s="71" t="s">
        <v>2376</v>
      </c>
      <c r="E168" s="72" t="s">
        <v>2406</v>
      </c>
      <c r="F168" s="72"/>
      <c r="G168" s="71" t="s">
        <v>107</v>
      </c>
      <c r="H168" s="71"/>
      <c r="I168" s="71"/>
      <c r="J168" s="71"/>
      <c r="K168" s="79" t="s">
        <v>2282</v>
      </c>
    </row>
    <row r="169" spans="1:11">
      <c r="A169" s="83">
        <v>84</v>
      </c>
      <c r="B169" s="73" t="s">
        <v>391</v>
      </c>
      <c r="C169" s="73"/>
      <c r="D169" s="73" t="s">
        <v>2376</v>
      </c>
      <c r="E169" s="74" t="s">
        <v>2281</v>
      </c>
      <c r="F169" s="74"/>
      <c r="G169" s="73" t="s">
        <v>107</v>
      </c>
      <c r="H169" s="73"/>
      <c r="I169" s="73"/>
      <c r="J169" s="73"/>
      <c r="K169" s="73" t="s">
        <v>2282</v>
      </c>
    </row>
    <row r="170" spans="1:11">
      <c r="A170" s="82">
        <v>85</v>
      </c>
      <c r="B170" s="71" t="s">
        <v>0</v>
      </c>
      <c r="C170" s="71"/>
      <c r="D170" s="71" t="s">
        <v>2376</v>
      </c>
      <c r="E170" s="72" t="s">
        <v>2407</v>
      </c>
      <c r="F170" s="72"/>
      <c r="G170" s="71" t="s">
        <v>2408</v>
      </c>
      <c r="H170" s="71" t="s">
        <v>534</v>
      </c>
      <c r="I170" s="71" t="s">
        <v>2402</v>
      </c>
      <c r="J170" s="71"/>
      <c r="K170" s="79" t="s">
        <v>2397</v>
      </c>
    </row>
    <row r="171" spans="1:11">
      <c r="A171" s="83">
        <v>85</v>
      </c>
      <c r="B171" s="73" t="s">
        <v>391</v>
      </c>
      <c r="C171" s="73"/>
      <c r="D171" s="73" t="s">
        <v>2376</v>
      </c>
      <c r="E171" s="74" t="s">
        <v>2409</v>
      </c>
      <c r="F171" s="74"/>
      <c r="G171" s="73" t="s">
        <v>2410</v>
      </c>
      <c r="H171" s="73"/>
      <c r="I171" s="73" t="s">
        <v>2405</v>
      </c>
      <c r="J171" s="73"/>
      <c r="K171" s="73" t="s">
        <v>2397</v>
      </c>
    </row>
    <row r="172" spans="1:11">
      <c r="A172" s="82">
        <v>86</v>
      </c>
      <c r="B172" s="71" t="s">
        <v>0</v>
      </c>
      <c r="C172" s="71"/>
      <c r="D172" s="71" t="s">
        <v>2376</v>
      </c>
      <c r="E172" s="72" t="s">
        <v>2411</v>
      </c>
      <c r="F172" s="72"/>
      <c r="G172" s="71" t="s">
        <v>107</v>
      </c>
      <c r="H172" s="71"/>
      <c r="I172" s="71"/>
      <c r="J172" s="71"/>
      <c r="K172" s="79" t="s">
        <v>2412</v>
      </c>
    </row>
    <row r="173" spans="1:11">
      <c r="A173" s="83">
        <v>86</v>
      </c>
      <c r="B173" s="73" t="s">
        <v>391</v>
      </c>
      <c r="C173" s="73"/>
      <c r="D173" s="73" t="s">
        <v>2376</v>
      </c>
      <c r="E173" s="74" t="s">
        <v>2413</v>
      </c>
      <c r="F173" s="74"/>
      <c r="G173" s="73" t="s">
        <v>107</v>
      </c>
      <c r="H173" s="73"/>
      <c r="I173" s="73"/>
      <c r="J173" s="73"/>
      <c r="K173" s="73" t="s">
        <v>2412</v>
      </c>
    </row>
    <row r="174" spans="1:11">
      <c r="A174" s="82">
        <v>87</v>
      </c>
      <c r="B174" s="71" t="s">
        <v>0</v>
      </c>
      <c r="C174" s="71"/>
      <c r="D174" s="71" t="s">
        <v>2414</v>
      </c>
      <c r="E174" s="72" t="s">
        <v>2415</v>
      </c>
      <c r="F174" s="72"/>
      <c r="G174" s="71" t="s">
        <v>107</v>
      </c>
      <c r="H174" s="71"/>
      <c r="I174" s="71"/>
      <c r="J174" s="71"/>
      <c r="K174" s="79" t="s">
        <v>2308</v>
      </c>
    </row>
    <row r="175" spans="1:11">
      <c r="A175" s="83">
        <v>87</v>
      </c>
      <c r="B175" s="73" t="s">
        <v>391</v>
      </c>
      <c r="C175" s="73"/>
      <c r="D175" s="73" t="s">
        <v>2414</v>
      </c>
      <c r="E175" s="74" t="s">
        <v>2416</v>
      </c>
      <c r="F175" s="74"/>
      <c r="G175" s="73" t="s">
        <v>107</v>
      </c>
      <c r="H175" s="73"/>
      <c r="I175" s="73"/>
      <c r="J175" s="73"/>
      <c r="K175" s="73" t="s">
        <v>2308</v>
      </c>
    </row>
    <row r="176" spans="1:11">
      <c r="A176" s="82">
        <v>88</v>
      </c>
      <c r="B176" s="71" t="s">
        <v>0</v>
      </c>
      <c r="C176" s="71"/>
      <c r="D176" s="71" t="s">
        <v>2414</v>
      </c>
      <c r="E176" s="72" t="s">
        <v>2417</v>
      </c>
      <c r="F176" s="72"/>
      <c r="G176" s="71" t="s">
        <v>107</v>
      </c>
      <c r="H176" s="71"/>
      <c r="I176" s="71"/>
      <c r="J176" s="71"/>
      <c r="K176" s="79" t="s">
        <v>2249</v>
      </c>
    </row>
    <row r="177" spans="1:11">
      <c r="A177" s="83">
        <v>88</v>
      </c>
      <c r="B177" s="73" t="s">
        <v>391</v>
      </c>
      <c r="C177" s="73"/>
      <c r="D177" s="73" t="s">
        <v>2414</v>
      </c>
      <c r="E177" s="74" t="s">
        <v>2418</v>
      </c>
      <c r="F177" s="74"/>
      <c r="G177" s="73" t="s">
        <v>107</v>
      </c>
      <c r="H177" s="73"/>
      <c r="I177" s="73"/>
      <c r="J177" s="73"/>
      <c r="K177" s="73" t="s">
        <v>2249</v>
      </c>
    </row>
    <row r="178" spans="1:11">
      <c r="A178" s="82">
        <v>89</v>
      </c>
      <c r="B178" s="71" t="s">
        <v>0</v>
      </c>
      <c r="C178" s="71"/>
      <c r="D178" s="71" t="s">
        <v>2414</v>
      </c>
      <c r="E178" s="72" t="s">
        <v>2419</v>
      </c>
      <c r="F178" s="72"/>
      <c r="G178" s="71" t="s">
        <v>2420</v>
      </c>
      <c r="H178" s="71" t="s">
        <v>534</v>
      </c>
      <c r="I178" s="71" t="s">
        <v>2231</v>
      </c>
      <c r="J178" s="71"/>
      <c r="K178" s="79" t="s">
        <v>2228</v>
      </c>
    </row>
    <row r="179" spans="1:11">
      <c r="A179" s="83">
        <v>89</v>
      </c>
      <c r="B179" s="73" t="s">
        <v>391</v>
      </c>
      <c r="C179" s="73"/>
      <c r="D179" s="73" t="s">
        <v>2414</v>
      </c>
      <c r="E179" s="74" t="s">
        <v>2421</v>
      </c>
      <c r="F179" s="74"/>
      <c r="G179" s="73" t="s">
        <v>2422</v>
      </c>
      <c r="H179" s="73"/>
      <c r="I179" s="73" t="s">
        <v>2227</v>
      </c>
      <c r="J179" s="73"/>
      <c r="K179" s="73" t="s">
        <v>2228</v>
      </c>
    </row>
    <row r="180" spans="1:11">
      <c r="A180" s="82">
        <v>90</v>
      </c>
      <c r="B180" s="71" t="s">
        <v>0</v>
      </c>
      <c r="C180" s="71"/>
      <c r="D180" s="71" t="s">
        <v>2414</v>
      </c>
      <c r="E180" s="72" t="s">
        <v>2423</v>
      </c>
      <c r="F180" s="72"/>
      <c r="G180" s="71" t="s">
        <v>2420</v>
      </c>
      <c r="H180" s="71" t="s">
        <v>534</v>
      </c>
      <c r="I180" s="71" t="s">
        <v>2231</v>
      </c>
      <c r="J180" s="71"/>
      <c r="K180" s="79" t="s">
        <v>2228</v>
      </c>
    </row>
    <row r="181" spans="1:11">
      <c r="A181" s="83">
        <v>90</v>
      </c>
      <c r="B181" s="73" t="s">
        <v>391</v>
      </c>
      <c r="C181" s="73"/>
      <c r="D181" s="73" t="s">
        <v>2414</v>
      </c>
      <c r="E181" s="74" t="s">
        <v>2424</v>
      </c>
      <c r="F181" s="74"/>
      <c r="G181" s="73" t="s">
        <v>2422</v>
      </c>
      <c r="H181" s="73"/>
      <c r="I181" s="73" t="s">
        <v>2227</v>
      </c>
      <c r="J181" s="73"/>
      <c r="K181" s="73" t="s">
        <v>2228</v>
      </c>
    </row>
    <row r="182" spans="1:11">
      <c r="A182" s="82">
        <v>91</v>
      </c>
      <c r="B182" s="71" t="s">
        <v>0</v>
      </c>
      <c r="C182" s="71"/>
      <c r="D182" s="71" t="s">
        <v>2414</v>
      </c>
      <c r="E182" s="72" t="s">
        <v>2425</v>
      </c>
      <c r="F182" s="72"/>
      <c r="G182" s="71" t="s">
        <v>107</v>
      </c>
      <c r="H182" s="71"/>
      <c r="I182" s="71"/>
      <c r="J182" s="71"/>
      <c r="K182" s="78" t="s">
        <v>2182</v>
      </c>
    </row>
    <row r="183" spans="1:11">
      <c r="A183" s="83">
        <v>91</v>
      </c>
      <c r="B183" s="73" t="s">
        <v>391</v>
      </c>
      <c r="C183" s="73"/>
      <c r="D183" s="73" t="s">
        <v>2414</v>
      </c>
      <c r="E183" s="74" t="s">
        <v>2426</v>
      </c>
      <c r="F183" s="74"/>
      <c r="G183" s="73" t="s">
        <v>107</v>
      </c>
      <c r="H183" s="73"/>
      <c r="I183" s="73"/>
      <c r="J183" s="73"/>
      <c r="K183" s="73" t="s">
        <v>2182</v>
      </c>
    </row>
    <row r="184" spans="1:11">
      <c r="A184" s="82">
        <v>92</v>
      </c>
      <c r="B184" s="71" t="s">
        <v>0</v>
      </c>
      <c r="C184" s="71"/>
      <c r="D184" s="71" t="s">
        <v>2414</v>
      </c>
      <c r="E184" s="72" t="s">
        <v>2427</v>
      </c>
      <c r="F184" s="72"/>
      <c r="G184" s="71" t="s">
        <v>107</v>
      </c>
      <c r="H184" s="71" t="s">
        <v>534</v>
      </c>
      <c r="I184" s="71"/>
      <c r="J184" s="71"/>
      <c r="K184" s="79" t="s">
        <v>2242</v>
      </c>
    </row>
    <row r="185" spans="1:11">
      <c r="A185" s="83">
        <v>92</v>
      </c>
      <c r="B185" s="73" t="s">
        <v>391</v>
      </c>
      <c r="C185" s="73"/>
      <c r="D185" s="73" t="s">
        <v>2414</v>
      </c>
      <c r="E185" s="74" t="s">
        <v>2428</v>
      </c>
      <c r="F185" s="74"/>
      <c r="G185" s="73" t="s">
        <v>107</v>
      </c>
      <c r="H185" s="73"/>
      <c r="I185" s="73"/>
      <c r="J185" s="73"/>
      <c r="K185" s="73" t="s">
        <v>2242</v>
      </c>
    </row>
    <row r="186" spans="1:11">
      <c r="A186" s="82">
        <v>93</v>
      </c>
      <c r="B186" s="71" t="s">
        <v>0</v>
      </c>
      <c r="C186" s="71"/>
      <c r="D186" s="71" t="s">
        <v>2429</v>
      </c>
      <c r="E186" s="72" t="s">
        <v>2430</v>
      </c>
      <c r="F186" s="72"/>
      <c r="G186" s="71" t="s">
        <v>107</v>
      </c>
      <c r="H186" s="71"/>
      <c r="I186" s="71"/>
      <c r="J186" s="71"/>
      <c r="K186" s="79" t="s">
        <v>2431</v>
      </c>
    </row>
    <row r="187" spans="1:11">
      <c r="A187" s="83">
        <v>93</v>
      </c>
      <c r="B187" s="73" t="s">
        <v>391</v>
      </c>
      <c r="C187" s="73"/>
      <c r="D187" s="73" t="s">
        <v>2429</v>
      </c>
      <c r="E187" s="74" t="s">
        <v>2432</v>
      </c>
      <c r="F187" s="74"/>
      <c r="G187" s="73" t="s">
        <v>107</v>
      </c>
      <c r="H187" s="73"/>
      <c r="I187" s="73"/>
      <c r="J187" s="73"/>
      <c r="K187" s="73" t="s">
        <v>2431</v>
      </c>
    </row>
    <row r="188" spans="1:11" ht="30">
      <c r="A188" s="82">
        <v>94</v>
      </c>
      <c r="B188" s="71" t="s">
        <v>0</v>
      </c>
      <c r="C188" s="71"/>
      <c r="D188" s="71" t="s">
        <v>2429</v>
      </c>
      <c r="E188" s="72" t="s">
        <v>2433</v>
      </c>
      <c r="F188" s="72"/>
      <c r="G188" s="71" t="s">
        <v>107</v>
      </c>
      <c r="H188" s="71" t="s">
        <v>534</v>
      </c>
      <c r="I188" s="71" t="s">
        <v>2434</v>
      </c>
      <c r="J188" s="71"/>
      <c r="K188" s="79" t="s">
        <v>2288</v>
      </c>
    </row>
    <row r="189" spans="1:11" ht="30">
      <c r="A189" s="83">
        <v>94</v>
      </c>
      <c r="B189" s="73" t="s">
        <v>391</v>
      </c>
      <c r="C189" s="73"/>
      <c r="D189" s="73" t="s">
        <v>2429</v>
      </c>
      <c r="E189" s="74" t="s">
        <v>2435</v>
      </c>
      <c r="F189" s="74"/>
      <c r="G189" s="73" t="s">
        <v>107</v>
      </c>
      <c r="H189" s="73"/>
      <c r="I189" s="73" t="s">
        <v>2436</v>
      </c>
      <c r="J189" s="73"/>
      <c r="K189" s="73" t="s">
        <v>2288</v>
      </c>
    </row>
    <row r="190" spans="1:11">
      <c r="A190" s="82">
        <v>95</v>
      </c>
      <c r="B190" s="71" t="s">
        <v>0</v>
      </c>
      <c r="C190" s="71"/>
      <c r="D190" s="71" t="s">
        <v>2437</v>
      </c>
      <c r="E190" s="72" t="s">
        <v>2438</v>
      </c>
      <c r="F190" s="72"/>
      <c r="G190" s="71" t="s">
        <v>2439</v>
      </c>
      <c r="H190" s="71" t="s">
        <v>534</v>
      </c>
      <c r="I190" s="71" t="s">
        <v>2440</v>
      </c>
      <c r="J190" s="71"/>
      <c r="K190" s="79" t="s">
        <v>2441</v>
      </c>
    </row>
    <row r="191" spans="1:11">
      <c r="A191" s="83">
        <v>95</v>
      </c>
      <c r="B191" s="73" t="s">
        <v>391</v>
      </c>
      <c r="C191" s="73"/>
      <c r="D191" s="73" t="s">
        <v>2437</v>
      </c>
      <c r="E191" s="74" t="s">
        <v>2442</v>
      </c>
      <c r="F191" s="74"/>
      <c r="G191" s="73" t="s">
        <v>2439</v>
      </c>
      <c r="H191" s="73"/>
      <c r="I191" s="73" t="s">
        <v>2443</v>
      </c>
      <c r="J191" s="73"/>
      <c r="K191" s="73" t="s">
        <v>2441</v>
      </c>
    </row>
    <row r="192" spans="1:11">
      <c r="A192" s="82">
        <v>96</v>
      </c>
      <c r="B192" s="71" t="s">
        <v>0</v>
      </c>
      <c r="C192" s="71"/>
      <c r="D192" s="71" t="s">
        <v>2437</v>
      </c>
      <c r="E192" s="72" t="s">
        <v>2444</v>
      </c>
      <c r="F192" s="72"/>
      <c r="G192" s="71" t="s">
        <v>107</v>
      </c>
      <c r="H192" s="71" t="s">
        <v>534</v>
      </c>
      <c r="I192" s="71"/>
      <c r="J192" s="71"/>
      <c r="K192" s="79" t="s">
        <v>2242</v>
      </c>
    </row>
    <row r="193" spans="1:11">
      <c r="A193" s="83">
        <v>96</v>
      </c>
      <c r="B193" s="73" t="s">
        <v>391</v>
      </c>
      <c r="C193" s="73"/>
      <c r="D193" s="73" t="s">
        <v>2437</v>
      </c>
      <c r="E193" s="74" t="s">
        <v>2445</v>
      </c>
      <c r="F193" s="74"/>
      <c r="G193" s="73" t="s">
        <v>107</v>
      </c>
      <c r="H193" s="73"/>
      <c r="I193" s="73"/>
      <c r="J193" s="73"/>
      <c r="K193" s="73" t="s">
        <v>2242</v>
      </c>
    </row>
    <row r="194" spans="1:11">
      <c r="A194" s="82">
        <v>97</v>
      </c>
      <c r="B194" s="71" t="s">
        <v>0</v>
      </c>
      <c r="C194" s="71"/>
      <c r="D194" s="71" t="s">
        <v>2437</v>
      </c>
      <c r="E194" s="72" t="s">
        <v>2446</v>
      </c>
      <c r="F194" s="72"/>
      <c r="G194" s="71" t="s">
        <v>107</v>
      </c>
      <c r="H194" s="71"/>
      <c r="I194" s="71"/>
      <c r="J194" s="71"/>
      <c r="K194" s="79" t="s">
        <v>2218</v>
      </c>
    </row>
    <row r="195" spans="1:11">
      <c r="A195" s="83">
        <v>97</v>
      </c>
      <c r="B195" s="73" t="s">
        <v>391</v>
      </c>
      <c r="C195" s="73"/>
      <c r="D195" s="73" t="s">
        <v>2437</v>
      </c>
      <c r="E195" s="74" t="s">
        <v>2447</v>
      </c>
      <c r="F195" s="74"/>
      <c r="G195" s="73" t="s">
        <v>107</v>
      </c>
      <c r="H195" s="73"/>
      <c r="I195" s="73"/>
      <c r="J195" s="73"/>
      <c r="K195" s="73" t="s">
        <v>2218</v>
      </c>
    </row>
    <row r="196" spans="1:11">
      <c r="A196" s="82">
        <v>98</v>
      </c>
      <c r="B196" s="71" t="s">
        <v>0</v>
      </c>
      <c r="C196" s="71"/>
      <c r="D196" s="71" t="s">
        <v>2448</v>
      </c>
      <c r="E196" s="72" t="s">
        <v>2449</v>
      </c>
      <c r="F196" s="72"/>
      <c r="G196" s="71" t="s">
        <v>107</v>
      </c>
      <c r="H196" s="71" t="s">
        <v>534</v>
      </c>
      <c r="I196" s="71"/>
      <c r="J196" s="71"/>
      <c r="K196" s="79" t="s">
        <v>2242</v>
      </c>
    </row>
    <row r="197" spans="1:11">
      <c r="A197" s="83">
        <v>98</v>
      </c>
      <c r="B197" s="73" t="s">
        <v>391</v>
      </c>
      <c r="C197" s="73"/>
      <c r="D197" s="73" t="s">
        <v>2448</v>
      </c>
      <c r="E197" s="74" t="s">
        <v>2450</v>
      </c>
      <c r="F197" s="74"/>
      <c r="G197" s="73" t="s">
        <v>107</v>
      </c>
      <c r="H197" s="73"/>
      <c r="I197" s="73"/>
      <c r="J197" s="73"/>
      <c r="K197" s="73" t="s">
        <v>2242</v>
      </c>
    </row>
    <row r="198" spans="1:11">
      <c r="A198" s="82">
        <v>99</v>
      </c>
      <c r="B198" s="71" t="s">
        <v>0</v>
      </c>
      <c r="C198" s="71"/>
      <c r="D198" s="71" t="s">
        <v>2451</v>
      </c>
      <c r="E198" s="72" t="s">
        <v>2452</v>
      </c>
      <c r="F198" s="72"/>
      <c r="G198" s="71" t="s">
        <v>107</v>
      </c>
      <c r="H198" s="71"/>
      <c r="I198" s="71"/>
      <c r="J198" s="71"/>
      <c r="K198" s="79" t="s">
        <v>2308</v>
      </c>
    </row>
    <row r="199" spans="1:11">
      <c r="A199" s="83">
        <v>99</v>
      </c>
      <c r="B199" s="73" t="s">
        <v>391</v>
      </c>
      <c r="C199" s="73"/>
      <c r="D199" s="73" t="s">
        <v>2451</v>
      </c>
      <c r="E199" s="74" t="s">
        <v>2453</v>
      </c>
      <c r="F199" s="74"/>
      <c r="G199" s="73" t="s">
        <v>107</v>
      </c>
      <c r="H199" s="73"/>
      <c r="I199" s="73"/>
      <c r="J199" s="73"/>
      <c r="K199" s="73" t="s">
        <v>2308</v>
      </c>
    </row>
    <row r="200" spans="1:11">
      <c r="A200" s="83">
        <v>100</v>
      </c>
      <c r="B200" s="73" t="s">
        <v>391</v>
      </c>
      <c r="C200" s="73"/>
      <c r="D200" s="73" t="s">
        <v>2454</v>
      </c>
      <c r="E200" s="74" t="s">
        <v>2421</v>
      </c>
      <c r="F200" s="74"/>
      <c r="G200" s="73" t="s">
        <v>2455</v>
      </c>
      <c r="H200" s="73"/>
      <c r="I200" s="73" t="s">
        <v>2227</v>
      </c>
      <c r="J200" s="73"/>
      <c r="K200" s="73" t="s">
        <v>2228</v>
      </c>
    </row>
    <row r="201" spans="1:11">
      <c r="A201" s="83">
        <v>100</v>
      </c>
      <c r="B201" s="73" t="s">
        <v>0</v>
      </c>
      <c r="C201" s="73"/>
      <c r="D201" s="73" t="s">
        <v>2456</v>
      </c>
      <c r="E201" s="74" t="s">
        <v>2419</v>
      </c>
      <c r="F201" s="74"/>
      <c r="G201" s="73" t="s">
        <v>2457</v>
      </c>
      <c r="H201" s="73" t="s">
        <v>534</v>
      </c>
      <c r="I201" s="73" t="s">
        <v>2231</v>
      </c>
      <c r="J201" s="73"/>
      <c r="K201" s="79" t="s">
        <v>2228</v>
      </c>
    </row>
    <row r="202" spans="1:11">
      <c r="A202" s="83">
        <v>101</v>
      </c>
      <c r="B202" s="73" t="s">
        <v>391</v>
      </c>
      <c r="C202" s="73"/>
      <c r="D202" s="73" t="s">
        <v>2454</v>
      </c>
      <c r="E202" s="74" t="s">
        <v>2256</v>
      </c>
      <c r="F202" s="74"/>
      <c r="G202" s="73" t="s">
        <v>2455</v>
      </c>
      <c r="H202" s="73"/>
      <c r="I202" s="73" t="s">
        <v>2227</v>
      </c>
      <c r="J202" s="73"/>
      <c r="K202" s="73" t="s">
        <v>2255</v>
      </c>
    </row>
    <row r="203" spans="1:11">
      <c r="A203" s="83">
        <v>101</v>
      </c>
      <c r="B203" s="73" t="s">
        <v>0</v>
      </c>
      <c r="C203" s="73"/>
      <c r="D203" s="73" t="s">
        <v>2456</v>
      </c>
      <c r="E203" s="74" t="s">
        <v>2254</v>
      </c>
      <c r="F203" s="74"/>
      <c r="G203" s="73" t="s">
        <v>2457</v>
      </c>
      <c r="H203" s="73" t="s">
        <v>534</v>
      </c>
      <c r="I203" s="73" t="s">
        <v>2231</v>
      </c>
      <c r="J203" s="73"/>
      <c r="K203" s="79" t="s">
        <v>2255</v>
      </c>
    </row>
    <row r="204" spans="1:11">
      <c r="A204" s="83">
        <v>102</v>
      </c>
      <c r="B204" s="73" t="s">
        <v>391</v>
      </c>
      <c r="C204" s="73"/>
      <c r="D204" s="73" t="s">
        <v>2454</v>
      </c>
      <c r="E204" s="74" t="s">
        <v>2458</v>
      </c>
      <c r="F204" s="74"/>
      <c r="G204" s="73" t="s">
        <v>107</v>
      </c>
      <c r="H204" s="73"/>
      <c r="I204" s="73"/>
      <c r="J204" s="73"/>
      <c r="K204" s="73" t="s">
        <v>2459</v>
      </c>
    </row>
    <row r="205" spans="1:11">
      <c r="A205" s="83">
        <v>102</v>
      </c>
      <c r="B205" s="73" t="s">
        <v>0</v>
      </c>
      <c r="C205" s="73"/>
      <c r="D205" s="73" t="s">
        <v>2456</v>
      </c>
      <c r="E205" s="74" t="s">
        <v>2460</v>
      </c>
      <c r="F205" s="74"/>
      <c r="G205" s="73" t="s">
        <v>107</v>
      </c>
      <c r="H205" s="73"/>
      <c r="I205" s="73"/>
      <c r="J205" s="73"/>
      <c r="K205" s="79" t="s">
        <v>2459</v>
      </c>
    </row>
    <row r="206" spans="1:11">
      <c r="A206" s="83">
        <v>103</v>
      </c>
      <c r="B206" s="73" t="s">
        <v>391</v>
      </c>
      <c r="C206" s="73"/>
      <c r="D206" s="73" t="s">
        <v>2454</v>
      </c>
      <c r="E206" s="74" t="s">
        <v>2461</v>
      </c>
      <c r="F206" s="74"/>
      <c r="G206" s="73" t="s">
        <v>107</v>
      </c>
      <c r="H206" s="73"/>
      <c r="I206" s="73"/>
      <c r="J206" s="73"/>
      <c r="K206" s="73" t="s">
        <v>2365</v>
      </c>
    </row>
    <row r="207" spans="1:11">
      <c r="A207" s="83">
        <v>103</v>
      </c>
      <c r="B207" s="73" t="s">
        <v>0</v>
      </c>
      <c r="C207" s="73"/>
      <c r="D207" s="73" t="s">
        <v>2456</v>
      </c>
      <c r="E207" s="74" t="s">
        <v>2462</v>
      </c>
      <c r="F207" s="74"/>
      <c r="G207" s="73" t="s">
        <v>107</v>
      </c>
      <c r="H207" s="73"/>
      <c r="I207" s="73"/>
      <c r="J207" s="73"/>
      <c r="K207" s="79" t="s">
        <v>2365</v>
      </c>
    </row>
    <row r="208" spans="1:11">
      <c r="A208" s="83">
        <v>104</v>
      </c>
      <c r="B208" s="73" t="s">
        <v>391</v>
      </c>
      <c r="C208" s="73"/>
      <c r="D208" s="73" t="s">
        <v>2454</v>
      </c>
      <c r="E208" s="74" t="s">
        <v>2463</v>
      </c>
      <c r="F208" s="74"/>
      <c r="G208" s="73" t="s">
        <v>107</v>
      </c>
      <c r="H208" s="73"/>
      <c r="I208" s="73"/>
      <c r="J208" s="73"/>
      <c r="K208" s="73" t="s">
        <v>2356</v>
      </c>
    </row>
    <row r="209" spans="1:11">
      <c r="A209" s="83">
        <v>104</v>
      </c>
      <c r="B209" s="73" t="s">
        <v>0</v>
      </c>
      <c r="C209" s="73"/>
      <c r="D209" s="73" t="s">
        <v>2456</v>
      </c>
      <c r="E209" s="74" t="s">
        <v>2464</v>
      </c>
      <c r="F209" s="74"/>
      <c r="G209" s="73" t="s">
        <v>107</v>
      </c>
      <c r="H209" s="73"/>
      <c r="I209" s="73"/>
      <c r="J209" s="73"/>
      <c r="K209" s="79" t="s">
        <v>2356</v>
      </c>
    </row>
    <row r="210" spans="1:11">
      <c r="A210" s="82">
        <v>105</v>
      </c>
      <c r="B210" s="71" t="s">
        <v>0</v>
      </c>
      <c r="C210" s="71"/>
      <c r="D210" s="71" t="s">
        <v>2465</v>
      </c>
      <c r="E210" s="72" t="s">
        <v>2466</v>
      </c>
      <c r="F210" s="72"/>
      <c r="G210" s="71" t="s">
        <v>107</v>
      </c>
      <c r="H210" s="71"/>
      <c r="I210" s="71"/>
      <c r="J210" s="71"/>
      <c r="K210" s="79" t="s">
        <v>2242</v>
      </c>
    </row>
    <row r="211" spans="1:11">
      <c r="A211" s="83">
        <v>105</v>
      </c>
      <c r="B211" s="73" t="s">
        <v>391</v>
      </c>
      <c r="C211" s="73"/>
      <c r="D211" s="73" t="s">
        <v>2465</v>
      </c>
      <c r="E211" s="74" t="s">
        <v>2467</v>
      </c>
      <c r="F211" s="74"/>
      <c r="G211" s="73" t="s">
        <v>107</v>
      </c>
      <c r="H211" s="73"/>
      <c r="I211" s="73"/>
      <c r="J211" s="73"/>
      <c r="K211" s="73" t="s">
        <v>2242</v>
      </c>
    </row>
    <row r="212" spans="1:11">
      <c r="A212" s="82">
        <v>106</v>
      </c>
      <c r="B212" s="71" t="s">
        <v>0</v>
      </c>
      <c r="C212" s="71"/>
      <c r="D212" s="71" t="s">
        <v>2465</v>
      </c>
      <c r="E212" s="72" t="s">
        <v>2468</v>
      </c>
      <c r="F212" s="72"/>
      <c r="G212" s="71" t="s">
        <v>107</v>
      </c>
      <c r="H212" s="71"/>
      <c r="I212" s="71"/>
      <c r="J212" s="71"/>
      <c r="K212" s="79" t="s">
        <v>2288</v>
      </c>
    </row>
    <row r="213" spans="1:11">
      <c r="A213" s="83">
        <v>106</v>
      </c>
      <c r="B213" s="73" t="s">
        <v>391</v>
      </c>
      <c r="C213" s="73"/>
      <c r="D213" s="73" t="s">
        <v>2465</v>
      </c>
      <c r="E213" s="74" t="s">
        <v>2469</v>
      </c>
      <c r="F213" s="74"/>
      <c r="G213" s="73" t="s">
        <v>107</v>
      </c>
      <c r="H213" s="73"/>
      <c r="I213" s="73"/>
      <c r="J213" s="73"/>
      <c r="K213" s="73" t="s">
        <v>2288</v>
      </c>
    </row>
    <row r="214" spans="1:11">
      <c r="A214" s="82">
        <v>107</v>
      </c>
      <c r="B214" s="71" t="s">
        <v>0</v>
      </c>
      <c r="C214" s="71"/>
      <c r="D214" s="71" t="s">
        <v>2465</v>
      </c>
      <c r="E214" s="72" t="s">
        <v>2470</v>
      </c>
      <c r="F214" s="72"/>
      <c r="G214" s="71" t="s">
        <v>107</v>
      </c>
      <c r="H214" s="71"/>
      <c r="I214" s="71"/>
      <c r="J214" s="71"/>
      <c r="K214" s="79" t="s">
        <v>2308</v>
      </c>
    </row>
    <row r="215" spans="1:11">
      <c r="A215" s="83">
        <v>107</v>
      </c>
      <c r="B215" s="73" t="s">
        <v>391</v>
      </c>
      <c r="C215" s="73"/>
      <c r="D215" s="73" t="s">
        <v>2465</v>
      </c>
      <c r="E215" s="74" t="s">
        <v>2471</v>
      </c>
      <c r="F215" s="74"/>
      <c r="G215" s="73" t="s">
        <v>107</v>
      </c>
      <c r="H215" s="73"/>
      <c r="I215" s="73"/>
      <c r="J215" s="73"/>
      <c r="K215" s="73" t="s">
        <v>2308</v>
      </c>
    </row>
    <row r="216" spans="1:11">
      <c r="A216" s="83">
        <v>108</v>
      </c>
      <c r="B216" s="73" t="s">
        <v>391</v>
      </c>
      <c r="C216" s="73"/>
      <c r="D216" s="73" t="s">
        <v>2472</v>
      </c>
      <c r="E216" s="74" t="s">
        <v>2473</v>
      </c>
      <c r="F216" s="74"/>
      <c r="G216" s="73" t="s">
        <v>107</v>
      </c>
      <c r="H216" s="73"/>
      <c r="I216" s="73"/>
      <c r="J216" s="73"/>
      <c r="K216" s="73" t="s">
        <v>2474</v>
      </c>
    </row>
    <row r="217" spans="1:11">
      <c r="A217" s="83">
        <v>108</v>
      </c>
      <c r="B217" s="73" t="s">
        <v>0</v>
      </c>
      <c r="C217" s="73"/>
      <c r="D217" s="73" t="s">
        <v>2475</v>
      </c>
      <c r="E217" s="74" t="s">
        <v>2476</v>
      </c>
      <c r="F217" s="74"/>
      <c r="G217" s="73" t="s">
        <v>107</v>
      </c>
      <c r="H217" s="73"/>
      <c r="I217" s="73"/>
      <c r="J217" s="73"/>
      <c r="K217" s="79" t="s">
        <v>2474</v>
      </c>
    </row>
    <row r="218" spans="1:11">
      <c r="A218" s="83">
        <v>109</v>
      </c>
      <c r="B218" s="73" t="s">
        <v>391</v>
      </c>
      <c r="C218" s="73"/>
      <c r="D218" s="73" t="s">
        <v>2472</v>
      </c>
      <c r="E218" s="74" t="s">
        <v>2477</v>
      </c>
      <c r="F218" s="74"/>
      <c r="G218" s="73" t="s">
        <v>107</v>
      </c>
      <c r="H218" s="73"/>
      <c r="I218" s="73"/>
      <c r="J218" s="73"/>
      <c r="K218" s="73" t="s">
        <v>2474</v>
      </c>
    </row>
    <row r="219" spans="1:11">
      <c r="A219" s="83">
        <v>109</v>
      </c>
      <c r="B219" s="73" t="s">
        <v>0</v>
      </c>
      <c r="C219" s="73"/>
      <c r="D219" s="73" t="s">
        <v>2475</v>
      </c>
      <c r="E219" s="74" t="s">
        <v>2478</v>
      </c>
      <c r="F219" s="74"/>
      <c r="G219" s="73" t="s">
        <v>107</v>
      </c>
      <c r="H219" s="73"/>
      <c r="I219" s="73"/>
      <c r="J219" s="73"/>
      <c r="K219" s="79" t="s">
        <v>2474</v>
      </c>
    </row>
    <row r="220" spans="1:11">
      <c r="A220" s="83">
        <v>110</v>
      </c>
      <c r="B220" s="73" t="s">
        <v>391</v>
      </c>
      <c r="C220" s="73"/>
      <c r="D220" s="73" t="s">
        <v>2472</v>
      </c>
      <c r="E220" s="74" t="s">
        <v>2479</v>
      </c>
      <c r="F220" s="74"/>
      <c r="G220" s="73" t="s">
        <v>107</v>
      </c>
      <c r="H220" s="73"/>
      <c r="I220" s="73"/>
      <c r="J220" s="73"/>
      <c r="K220" s="73" t="s">
        <v>2480</v>
      </c>
    </row>
    <row r="221" spans="1:11" ht="30">
      <c r="A221" s="83">
        <v>110</v>
      </c>
      <c r="B221" s="73" t="s">
        <v>0</v>
      </c>
      <c r="C221" s="73"/>
      <c r="D221" s="73" t="s">
        <v>2475</v>
      </c>
      <c r="E221" s="74" t="s">
        <v>2481</v>
      </c>
      <c r="F221" s="74"/>
      <c r="G221" s="73" t="s">
        <v>107</v>
      </c>
      <c r="H221" s="73"/>
      <c r="I221" s="73"/>
      <c r="J221" s="73"/>
      <c r="K221" s="79" t="s">
        <v>2480</v>
      </c>
    </row>
    <row r="222" spans="1:11" ht="30">
      <c r="A222" s="83">
        <v>111</v>
      </c>
      <c r="B222" s="73" t="s">
        <v>391</v>
      </c>
      <c r="C222" s="73"/>
      <c r="D222" s="73" t="s">
        <v>2482</v>
      </c>
      <c r="E222" s="74" t="s">
        <v>2483</v>
      </c>
      <c r="F222" s="74"/>
      <c r="G222" s="73" t="s">
        <v>107</v>
      </c>
      <c r="H222" s="73"/>
      <c r="I222" s="73"/>
      <c r="J222" s="73"/>
      <c r="K222" s="73" t="s">
        <v>2484</v>
      </c>
    </row>
    <row r="223" spans="1:11" ht="30">
      <c r="A223" s="83">
        <v>111</v>
      </c>
      <c r="B223" s="73" t="s">
        <v>0</v>
      </c>
      <c r="C223" s="73"/>
      <c r="D223" s="73" t="s">
        <v>2485</v>
      </c>
      <c r="E223" s="74" t="s">
        <v>2486</v>
      </c>
      <c r="F223" s="74"/>
      <c r="G223" s="73" t="s">
        <v>107</v>
      </c>
      <c r="H223" s="73"/>
      <c r="I223" s="73"/>
      <c r="J223" s="73"/>
      <c r="K223" s="78" t="s">
        <v>2484</v>
      </c>
    </row>
    <row r="224" spans="1:11" ht="30">
      <c r="A224" s="82">
        <v>112</v>
      </c>
      <c r="B224" s="71" t="s">
        <v>0</v>
      </c>
      <c r="C224" s="71"/>
      <c r="D224" s="71" t="s">
        <v>2487</v>
      </c>
      <c r="E224" s="72" t="s">
        <v>2488</v>
      </c>
      <c r="F224" s="72"/>
      <c r="G224" s="71"/>
      <c r="H224" s="71" t="s">
        <v>534</v>
      </c>
      <c r="I224" s="71" t="s">
        <v>2489</v>
      </c>
      <c r="J224" s="71"/>
      <c r="K224" s="78" t="s">
        <v>2490</v>
      </c>
    </row>
    <row r="225" spans="1:11" ht="30">
      <c r="A225" s="83">
        <v>112</v>
      </c>
      <c r="B225" s="73" t="s">
        <v>391</v>
      </c>
      <c r="C225" s="73"/>
      <c r="D225" s="73" t="s">
        <v>2491</v>
      </c>
      <c r="E225" s="74" t="s">
        <v>2492</v>
      </c>
      <c r="F225" s="74"/>
      <c r="G225" s="73"/>
      <c r="H225" s="73" t="s">
        <v>535</v>
      </c>
      <c r="I225" s="73" t="s">
        <v>2493</v>
      </c>
      <c r="J225" s="73"/>
      <c r="K225" s="73" t="s">
        <v>2490</v>
      </c>
    </row>
    <row r="226" spans="1:11">
      <c r="A226" s="82">
        <v>113</v>
      </c>
      <c r="B226" s="71" t="s">
        <v>0</v>
      </c>
      <c r="C226" s="71"/>
      <c r="D226" s="71" t="s">
        <v>2487</v>
      </c>
      <c r="E226" s="72" t="s">
        <v>2494</v>
      </c>
      <c r="F226" s="72"/>
      <c r="G226" s="71"/>
      <c r="H226" s="71" t="s">
        <v>534</v>
      </c>
      <c r="I226" s="71" t="s">
        <v>2489</v>
      </c>
      <c r="J226" s="71"/>
      <c r="K226" s="78" t="s">
        <v>2495</v>
      </c>
    </row>
    <row r="227" spans="1:11">
      <c r="A227" s="83">
        <v>113</v>
      </c>
      <c r="B227" s="73" t="s">
        <v>391</v>
      </c>
      <c r="C227" s="73"/>
      <c r="D227" s="73" t="s">
        <v>2491</v>
      </c>
      <c r="E227" s="74" t="s">
        <v>2496</v>
      </c>
      <c r="F227" s="74"/>
      <c r="G227" s="73"/>
      <c r="H227" s="73" t="s">
        <v>535</v>
      </c>
      <c r="I227" s="73" t="s">
        <v>2493</v>
      </c>
      <c r="J227" s="73"/>
      <c r="K227" s="73" t="s">
        <v>2495</v>
      </c>
    </row>
    <row r="228" spans="1:11">
      <c r="A228" s="83">
        <v>114</v>
      </c>
      <c r="B228" s="73" t="s">
        <v>391</v>
      </c>
      <c r="C228" s="73"/>
      <c r="D228" s="88" t="s">
        <v>2497</v>
      </c>
      <c r="E228" s="91" t="s">
        <v>2498</v>
      </c>
      <c r="F228" s="74"/>
      <c r="G228" s="73"/>
      <c r="H228" s="73"/>
      <c r="I228" s="73"/>
      <c r="J228" s="73"/>
      <c r="K228" s="88" t="s">
        <v>2499</v>
      </c>
    </row>
    <row r="229" spans="1:11">
      <c r="A229" s="83">
        <v>114</v>
      </c>
      <c r="B229" s="73" t="s">
        <v>0</v>
      </c>
      <c r="C229" s="73"/>
      <c r="D229" s="66" t="s">
        <v>2500</v>
      </c>
      <c r="E229" s="87" t="s">
        <v>2501</v>
      </c>
      <c r="F229" s="74"/>
      <c r="G229" s="73"/>
      <c r="H229" s="73"/>
      <c r="I229" s="73"/>
      <c r="J229" s="73"/>
      <c r="K229" s="65" t="s">
        <v>2499</v>
      </c>
    </row>
    <row r="230" spans="1:11">
      <c r="A230" s="83">
        <v>115</v>
      </c>
      <c r="B230" s="73" t="s">
        <v>391</v>
      </c>
      <c r="C230" s="73"/>
      <c r="D230" s="88" t="s">
        <v>2497</v>
      </c>
      <c r="E230" s="88" t="s">
        <v>2502</v>
      </c>
      <c r="F230" s="74"/>
      <c r="G230" s="73"/>
      <c r="H230" s="73"/>
      <c r="I230" s="73"/>
      <c r="J230" s="73"/>
      <c r="K230" s="88" t="s">
        <v>2503</v>
      </c>
    </row>
    <row r="231" spans="1:11">
      <c r="A231" s="83">
        <v>114.971428571429</v>
      </c>
      <c r="B231" s="73" t="s">
        <v>0</v>
      </c>
      <c r="C231" s="73"/>
      <c r="D231" s="66" t="s">
        <v>2500</v>
      </c>
      <c r="E231" s="66" t="s">
        <v>2504</v>
      </c>
      <c r="F231" s="74"/>
      <c r="G231" s="73"/>
      <c r="H231" s="73"/>
      <c r="I231" s="73"/>
      <c r="J231" s="73"/>
      <c r="K231" s="65" t="s">
        <v>2503</v>
      </c>
    </row>
    <row r="232" spans="1:11">
      <c r="A232" s="83">
        <v>116</v>
      </c>
      <c r="B232" s="73" t="s">
        <v>391</v>
      </c>
      <c r="C232" s="73"/>
      <c r="D232" s="88" t="s">
        <v>2497</v>
      </c>
      <c r="E232" s="88" t="s">
        <v>2505</v>
      </c>
      <c r="F232" s="74"/>
      <c r="G232" s="73"/>
      <c r="H232" s="73"/>
      <c r="I232" s="73"/>
      <c r="J232" s="73"/>
      <c r="K232" s="88" t="s">
        <v>2506</v>
      </c>
    </row>
    <row r="233" spans="1:11">
      <c r="A233" s="83">
        <v>116</v>
      </c>
      <c r="B233" s="73" t="s">
        <v>0</v>
      </c>
      <c r="C233" s="73"/>
      <c r="D233" s="66" t="s">
        <v>2500</v>
      </c>
      <c r="E233" s="66" t="s">
        <v>2507</v>
      </c>
      <c r="F233" s="74"/>
      <c r="G233" s="73"/>
      <c r="H233" s="73"/>
      <c r="I233" s="73"/>
      <c r="J233" s="73"/>
      <c r="K233" s="65" t="s">
        <v>2506</v>
      </c>
    </row>
    <row r="234" spans="1:11">
      <c r="A234" s="83">
        <v>117</v>
      </c>
      <c r="B234" s="73" t="s">
        <v>391</v>
      </c>
      <c r="C234" s="73"/>
      <c r="D234" s="88" t="s">
        <v>2497</v>
      </c>
      <c r="E234" s="88" t="s">
        <v>2508</v>
      </c>
      <c r="F234" s="74"/>
      <c r="G234" s="73"/>
      <c r="H234" s="73"/>
      <c r="I234" s="73"/>
      <c r="J234" s="73"/>
      <c r="K234" s="88" t="s">
        <v>2509</v>
      </c>
    </row>
    <row r="235" spans="1:11">
      <c r="A235" s="83">
        <v>117</v>
      </c>
      <c r="B235" s="73" t="s">
        <v>0</v>
      </c>
      <c r="C235" s="73"/>
      <c r="D235" s="66" t="s">
        <v>2500</v>
      </c>
      <c r="E235" s="66" t="s">
        <v>2510</v>
      </c>
      <c r="F235" s="74"/>
      <c r="G235" s="73"/>
      <c r="H235" s="73"/>
      <c r="I235" s="73"/>
      <c r="J235" s="73"/>
      <c r="K235" s="88" t="s">
        <v>2509</v>
      </c>
    </row>
    <row r="236" spans="1:11">
      <c r="A236" s="83">
        <v>118</v>
      </c>
      <c r="B236" s="73" t="s">
        <v>391</v>
      </c>
      <c r="C236" s="73"/>
      <c r="D236" s="88" t="s">
        <v>2497</v>
      </c>
      <c r="E236" s="88" t="s">
        <v>2511</v>
      </c>
      <c r="F236" s="74"/>
      <c r="G236" s="73"/>
      <c r="H236" s="73"/>
      <c r="I236" s="73"/>
      <c r="J236" s="73"/>
      <c r="K236" s="88" t="s">
        <v>2512</v>
      </c>
    </row>
    <row r="237" spans="1:11">
      <c r="A237" s="83">
        <v>118</v>
      </c>
      <c r="B237" s="73" t="s">
        <v>0</v>
      </c>
      <c r="C237" s="73"/>
      <c r="D237" s="66" t="s">
        <v>2500</v>
      </c>
      <c r="E237" s="66" t="s">
        <v>2513</v>
      </c>
      <c r="F237" s="74"/>
      <c r="G237" s="73"/>
      <c r="H237" s="73"/>
      <c r="I237" s="73"/>
      <c r="J237" s="73"/>
      <c r="K237" s="88" t="s">
        <v>2512</v>
      </c>
    </row>
    <row r="238" spans="1:11">
      <c r="A238" s="83">
        <v>119</v>
      </c>
      <c r="B238" s="73" t="s">
        <v>391</v>
      </c>
      <c r="C238" s="73"/>
      <c r="D238" s="88" t="s">
        <v>2497</v>
      </c>
      <c r="E238" s="88" t="s">
        <v>2514</v>
      </c>
      <c r="F238" s="74"/>
      <c r="G238" s="73"/>
      <c r="H238" s="73"/>
      <c r="I238" s="73"/>
      <c r="J238" s="73"/>
      <c r="K238" s="88" t="s">
        <v>2515</v>
      </c>
    </row>
    <row r="239" spans="1:11">
      <c r="A239" s="83">
        <v>119</v>
      </c>
      <c r="B239" s="73" t="s">
        <v>0</v>
      </c>
      <c r="C239" s="73"/>
      <c r="D239" s="66" t="s">
        <v>2500</v>
      </c>
      <c r="E239" s="66" t="s">
        <v>2516</v>
      </c>
      <c r="F239" s="74"/>
      <c r="G239" s="73"/>
      <c r="H239" s="73"/>
      <c r="I239" s="73"/>
      <c r="J239" s="73"/>
      <c r="K239" s="88" t="s">
        <v>2515</v>
      </c>
    </row>
    <row r="240" spans="1:11">
      <c r="A240" s="83">
        <v>120</v>
      </c>
      <c r="B240" s="73" t="s">
        <v>391</v>
      </c>
      <c r="C240" s="73"/>
      <c r="D240" s="88" t="s">
        <v>2497</v>
      </c>
      <c r="E240" s="88" t="s">
        <v>2517</v>
      </c>
      <c r="F240" s="74"/>
      <c r="G240" s="73"/>
      <c r="H240" s="73"/>
      <c r="I240" s="73"/>
      <c r="J240" s="73"/>
      <c r="K240" s="88" t="s">
        <v>2518</v>
      </c>
    </row>
    <row r="241" spans="1:11">
      <c r="A241" s="83">
        <v>120</v>
      </c>
      <c r="B241" s="73" t="s">
        <v>0</v>
      </c>
      <c r="C241" s="73"/>
      <c r="D241" s="66" t="s">
        <v>2500</v>
      </c>
      <c r="E241" s="66" t="s">
        <v>2519</v>
      </c>
      <c r="F241" s="74"/>
      <c r="G241" s="73"/>
      <c r="H241" s="73"/>
      <c r="I241" s="73"/>
      <c r="J241" s="73"/>
      <c r="K241" s="88" t="s">
        <v>2518</v>
      </c>
    </row>
    <row r="242" spans="1:11">
      <c r="A242" s="83">
        <v>121</v>
      </c>
      <c r="B242" s="73" t="s">
        <v>391</v>
      </c>
      <c r="C242" s="73"/>
      <c r="D242" s="88" t="s">
        <v>2497</v>
      </c>
      <c r="E242" s="88" t="s">
        <v>2520</v>
      </c>
      <c r="F242" s="74"/>
      <c r="G242" s="73"/>
      <c r="H242" s="73"/>
      <c r="I242" s="73"/>
      <c r="J242" s="73"/>
      <c r="K242" s="88" t="s">
        <v>2521</v>
      </c>
    </row>
    <row r="243" spans="1:11">
      <c r="A243" s="83">
        <v>121</v>
      </c>
      <c r="B243" s="73" t="s">
        <v>0</v>
      </c>
      <c r="C243" s="73"/>
      <c r="D243" s="66" t="s">
        <v>2500</v>
      </c>
      <c r="E243" s="66" t="s">
        <v>2522</v>
      </c>
      <c r="F243" s="74"/>
      <c r="G243" s="73"/>
      <c r="H243" s="73"/>
      <c r="I243" s="73"/>
      <c r="J243" s="73"/>
      <c r="K243" s="88" t="s">
        <v>2521</v>
      </c>
    </row>
    <row r="244" spans="1:11">
      <c r="A244" s="83">
        <v>122</v>
      </c>
      <c r="B244" s="73" t="s">
        <v>391</v>
      </c>
      <c r="C244" s="73"/>
      <c r="D244" s="88" t="s">
        <v>2497</v>
      </c>
      <c r="E244" s="88" t="s">
        <v>2523</v>
      </c>
      <c r="F244" s="74"/>
      <c r="G244" s="73"/>
      <c r="H244" s="73"/>
      <c r="I244" s="73"/>
      <c r="J244" s="73"/>
      <c r="K244" s="88" t="s">
        <v>2524</v>
      </c>
    </row>
    <row r="245" spans="1:11">
      <c r="A245" s="83">
        <v>122</v>
      </c>
      <c r="B245" s="73" t="s">
        <v>0</v>
      </c>
      <c r="C245" s="73"/>
      <c r="D245" s="66" t="s">
        <v>2500</v>
      </c>
      <c r="E245" s="66" t="s">
        <v>2525</v>
      </c>
      <c r="F245" s="74"/>
      <c r="G245" s="73"/>
      <c r="H245" s="73"/>
      <c r="I245" s="73"/>
      <c r="J245" s="73"/>
      <c r="K245" s="88" t="s">
        <v>2524</v>
      </c>
    </row>
    <row r="246" spans="1:11">
      <c r="A246" s="83">
        <v>123</v>
      </c>
      <c r="B246" s="73" t="s">
        <v>391</v>
      </c>
      <c r="C246" s="73"/>
      <c r="D246" s="88" t="s">
        <v>2497</v>
      </c>
      <c r="E246" s="88" t="s">
        <v>2526</v>
      </c>
      <c r="F246" s="74"/>
      <c r="G246" s="73"/>
      <c r="H246" s="73"/>
      <c r="I246" s="73"/>
      <c r="J246" s="73"/>
      <c r="K246" s="88" t="s">
        <v>2527</v>
      </c>
    </row>
    <row r="247" spans="1:11">
      <c r="A247" s="83">
        <v>123</v>
      </c>
      <c r="B247" s="73" t="s">
        <v>0</v>
      </c>
      <c r="C247" s="73"/>
      <c r="D247" s="66" t="s">
        <v>2500</v>
      </c>
      <c r="E247" s="66" t="s">
        <v>2528</v>
      </c>
      <c r="F247" s="74"/>
      <c r="G247" s="73"/>
      <c r="H247" s="73"/>
      <c r="I247" s="73"/>
      <c r="J247" s="73"/>
      <c r="K247" s="88" t="s">
        <v>2527</v>
      </c>
    </row>
    <row r="248" spans="1:11">
      <c r="A248" s="83">
        <v>124</v>
      </c>
      <c r="B248" s="73" t="s">
        <v>391</v>
      </c>
      <c r="C248" s="73"/>
      <c r="D248" s="88" t="s">
        <v>2497</v>
      </c>
      <c r="E248" s="88" t="s">
        <v>2529</v>
      </c>
      <c r="F248" s="74"/>
      <c r="G248" s="73"/>
      <c r="H248" s="73"/>
      <c r="I248" s="73"/>
      <c r="J248" s="73"/>
      <c r="K248" s="88" t="s">
        <v>2530</v>
      </c>
    </row>
    <row r="249" spans="1:11">
      <c r="A249" s="83">
        <v>124</v>
      </c>
      <c r="B249" s="73" t="s">
        <v>0</v>
      </c>
      <c r="C249" s="73"/>
      <c r="D249" s="66" t="s">
        <v>2500</v>
      </c>
      <c r="E249" s="66" t="s">
        <v>2531</v>
      </c>
      <c r="F249" s="74"/>
      <c r="G249" s="73"/>
      <c r="H249" s="73"/>
      <c r="I249" s="73"/>
      <c r="J249" s="73"/>
      <c r="K249" s="88" t="s">
        <v>2530</v>
      </c>
    </row>
    <row r="250" spans="1:11">
      <c r="A250" s="83">
        <v>125</v>
      </c>
      <c r="B250" s="73" t="s">
        <v>391</v>
      </c>
      <c r="C250" s="73"/>
      <c r="D250" s="88" t="s">
        <v>2497</v>
      </c>
      <c r="E250" s="88" t="s">
        <v>2532</v>
      </c>
      <c r="F250" s="74"/>
      <c r="G250" s="73"/>
      <c r="H250" s="73"/>
      <c r="I250" s="73"/>
      <c r="J250" s="73"/>
      <c r="K250" s="88" t="s">
        <v>2533</v>
      </c>
    </row>
    <row r="251" spans="1:11">
      <c r="A251" s="83">
        <v>125</v>
      </c>
      <c r="B251" s="73" t="s">
        <v>0</v>
      </c>
      <c r="C251" s="73"/>
      <c r="D251" s="66" t="s">
        <v>2500</v>
      </c>
      <c r="E251" s="66" t="s">
        <v>2534</v>
      </c>
      <c r="F251" s="74"/>
      <c r="G251" s="73"/>
      <c r="H251" s="73"/>
      <c r="I251" s="73"/>
      <c r="J251" s="73"/>
      <c r="K251" s="88" t="s">
        <v>2533</v>
      </c>
    </row>
    <row r="252" spans="1:11">
      <c r="A252" s="83">
        <v>126</v>
      </c>
      <c r="B252" s="73" t="s">
        <v>391</v>
      </c>
      <c r="C252" s="73"/>
      <c r="D252" s="88" t="s">
        <v>2497</v>
      </c>
      <c r="E252" s="88" t="s">
        <v>2535</v>
      </c>
      <c r="F252" s="74"/>
      <c r="G252" s="73"/>
      <c r="H252" s="73"/>
      <c r="I252" s="73"/>
      <c r="J252" s="73"/>
      <c r="K252" s="88" t="s">
        <v>2536</v>
      </c>
    </row>
    <row r="253" spans="1:11">
      <c r="A253" s="83">
        <v>126</v>
      </c>
      <c r="B253" s="73" t="s">
        <v>0</v>
      </c>
      <c r="C253" s="73"/>
      <c r="D253" s="66" t="s">
        <v>2500</v>
      </c>
      <c r="E253" s="66" t="s">
        <v>2537</v>
      </c>
      <c r="F253" s="74"/>
      <c r="G253" s="73"/>
      <c r="H253" s="73"/>
      <c r="I253" s="73"/>
      <c r="J253" s="73"/>
      <c r="K253" s="88" t="s">
        <v>2536</v>
      </c>
    </row>
    <row r="254" spans="1:11">
      <c r="A254" s="83">
        <v>127</v>
      </c>
      <c r="B254" s="73" t="s">
        <v>391</v>
      </c>
      <c r="C254" s="73"/>
      <c r="D254" s="88" t="s">
        <v>2497</v>
      </c>
      <c r="E254" s="88" t="s">
        <v>2538</v>
      </c>
      <c r="F254" s="74"/>
      <c r="G254" s="73"/>
      <c r="H254" s="73"/>
      <c r="I254" s="73"/>
      <c r="J254" s="73"/>
      <c r="K254" s="88" t="s">
        <v>2539</v>
      </c>
    </row>
    <row r="255" spans="1:11">
      <c r="A255" s="83">
        <v>127</v>
      </c>
      <c r="B255" s="73" t="s">
        <v>0</v>
      </c>
      <c r="C255" s="73"/>
      <c r="D255" s="66" t="s">
        <v>2500</v>
      </c>
      <c r="E255" s="66" t="s">
        <v>2540</v>
      </c>
      <c r="F255" s="74"/>
      <c r="G255" s="73"/>
      <c r="H255" s="73"/>
      <c r="I255" s="73"/>
      <c r="J255" s="73"/>
      <c r="K255" s="88" t="s">
        <v>2539</v>
      </c>
    </row>
    <row r="256" spans="1:11">
      <c r="A256" s="83">
        <v>128</v>
      </c>
      <c r="B256" s="73" t="s">
        <v>391</v>
      </c>
      <c r="C256" s="73"/>
      <c r="D256" s="88" t="s">
        <v>2497</v>
      </c>
      <c r="E256" s="88" t="s">
        <v>2541</v>
      </c>
      <c r="F256" s="74"/>
      <c r="G256" s="73"/>
      <c r="H256" s="73"/>
      <c r="I256" s="73"/>
      <c r="J256" s="73"/>
      <c r="K256" s="88" t="s">
        <v>2542</v>
      </c>
    </row>
    <row r="257" spans="1:11">
      <c r="A257" s="83">
        <v>128</v>
      </c>
      <c r="B257" s="73" t="s">
        <v>0</v>
      </c>
      <c r="C257" s="73"/>
      <c r="D257" s="66" t="s">
        <v>2500</v>
      </c>
      <c r="E257" s="66" t="s">
        <v>2543</v>
      </c>
      <c r="F257" s="74"/>
      <c r="G257" s="73"/>
      <c r="H257" s="73"/>
      <c r="I257" s="73"/>
      <c r="J257" s="73"/>
      <c r="K257" s="88" t="s">
        <v>2542</v>
      </c>
    </row>
    <row r="258" spans="1:11">
      <c r="A258" s="83">
        <v>129</v>
      </c>
      <c r="B258" s="73" t="s">
        <v>391</v>
      </c>
      <c r="C258" s="73"/>
      <c r="D258" s="88" t="s">
        <v>2497</v>
      </c>
      <c r="E258" s="88" t="s">
        <v>2544</v>
      </c>
      <c r="F258" s="74"/>
      <c r="G258" s="73"/>
      <c r="H258" s="73"/>
      <c r="I258" s="73"/>
      <c r="J258" s="73"/>
      <c r="K258" s="88" t="s">
        <v>2545</v>
      </c>
    </row>
    <row r="259" spans="1:11">
      <c r="A259" s="83">
        <v>129</v>
      </c>
      <c r="B259" s="73" t="s">
        <v>0</v>
      </c>
      <c r="C259" s="73"/>
      <c r="D259" s="66" t="s">
        <v>2500</v>
      </c>
      <c r="E259" s="66" t="s">
        <v>2546</v>
      </c>
      <c r="F259" s="74"/>
      <c r="G259" s="73"/>
      <c r="H259" s="73"/>
      <c r="I259" s="73"/>
      <c r="J259" s="73"/>
      <c r="K259" s="88" t="s">
        <v>2545</v>
      </c>
    </row>
    <row r="260" spans="1:11">
      <c r="A260" s="83">
        <v>130</v>
      </c>
      <c r="B260" s="73" t="s">
        <v>391</v>
      </c>
      <c r="C260" s="73"/>
      <c r="D260" s="88" t="s">
        <v>2497</v>
      </c>
      <c r="E260" s="88" t="s">
        <v>2547</v>
      </c>
      <c r="F260" s="74"/>
      <c r="G260" s="73"/>
      <c r="H260" s="73"/>
      <c r="I260" s="73"/>
      <c r="J260" s="73"/>
      <c r="K260" s="88" t="s">
        <v>2548</v>
      </c>
    </row>
    <row r="261" spans="1:11">
      <c r="A261" s="83">
        <v>130</v>
      </c>
      <c r="B261" s="73" t="s">
        <v>0</v>
      </c>
      <c r="C261" s="73"/>
      <c r="D261" s="66" t="s">
        <v>2500</v>
      </c>
      <c r="E261" s="66" t="s">
        <v>2549</v>
      </c>
      <c r="F261" s="74"/>
      <c r="G261" s="73"/>
      <c r="H261" s="73"/>
      <c r="I261" s="73"/>
      <c r="J261" s="73"/>
      <c r="K261" s="88" t="s">
        <v>2548</v>
      </c>
    </row>
    <row r="262" spans="1:11">
      <c r="A262" s="83">
        <v>131</v>
      </c>
      <c r="B262" s="73" t="s">
        <v>391</v>
      </c>
      <c r="C262" s="73"/>
      <c r="D262" s="88" t="s">
        <v>2497</v>
      </c>
      <c r="E262" s="88" t="s">
        <v>2550</v>
      </c>
      <c r="F262" s="74"/>
      <c r="G262" s="73"/>
      <c r="H262" s="73"/>
      <c r="I262" s="73"/>
      <c r="J262" s="73"/>
      <c r="K262" s="88" t="s">
        <v>2551</v>
      </c>
    </row>
    <row r="263" spans="1:11">
      <c r="A263" s="83">
        <v>131</v>
      </c>
      <c r="B263" s="73" t="s">
        <v>0</v>
      </c>
      <c r="C263" s="73"/>
      <c r="D263" s="66" t="s">
        <v>2500</v>
      </c>
      <c r="E263" s="66" t="s">
        <v>2552</v>
      </c>
      <c r="F263" s="74"/>
      <c r="G263" s="73"/>
      <c r="H263" s="73"/>
      <c r="I263" s="73"/>
      <c r="J263" s="73"/>
      <c r="K263" s="88" t="s">
        <v>2551</v>
      </c>
    </row>
    <row r="264" spans="1:11">
      <c r="A264" s="83">
        <v>132</v>
      </c>
      <c r="B264" s="73" t="s">
        <v>391</v>
      </c>
      <c r="C264" s="73"/>
      <c r="D264" s="88" t="s">
        <v>2497</v>
      </c>
      <c r="E264" s="88" t="s">
        <v>2553</v>
      </c>
      <c r="F264" s="74"/>
      <c r="G264" s="73"/>
      <c r="H264" s="73"/>
      <c r="I264" s="73"/>
      <c r="J264" s="73"/>
      <c r="K264" s="88" t="s">
        <v>2554</v>
      </c>
    </row>
    <row r="265" spans="1:11">
      <c r="A265" s="83">
        <v>132</v>
      </c>
      <c r="B265" s="73" t="s">
        <v>0</v>
      </c>
      <c r="C265" s="73"/>
      <c r="D265" s="66" t="s">
        <v>2500</v>
      </c>
      <c r="E265" s="66" t="s">
        <v>2555</v>
      </c>
      <c r="F265" s="74"/>
      <c r="G265" s="73"/>
      <c r="H265" s="73"/>
      <c r="I265" s="73"/>
      <c r="J265" s="73"/>
      <c r="K265" s="88" t="s">
        <v>2554</v>
      </c>
    </row>
    <row r="266" spans="1:11">
      <c r="A266" s="83">
        <v>133</v>
      </c>
      <c r="B266" s="73" t="s">
        <v>391</v>
      </c>
      <c r="C266" s="73"/>
      <c r="D266" s="88" t="s">
        <v>2497</v>
      </c>
      <c r="E266" s="88" t="s">
        <v>2556</v>
      </c>
      <c r="F266" s="74"/>
      <c r="G266" s="73"/>
      <c r="H266" s="73"/>
      <c r="I266" s="73"/>
      <c r="J266" s="73"/>
      <c r="K266" s="88" t="s">
        <v>2557</v>
      </c>
    </row>
    <row r="267" spans="1:11">
      <c r="A267" s="83">
        <v>133</v>
      </c>
      <c r="B267" s="73" t="s">
        <v>0</v>
      </c>
      <c r="C267" s="73"/>
      <c r="D267" s="66" t="s">
        <v>2500</v>
      </c>
      <c r="E267" s="66" t="s">
        <v>2558</v>
      </c>
      <c r="F267" s="74"/>
      <c r="G267" s="73"/>
      <c r="H267" s="73"/>
      <c r="I267" s="73"/>
      <c r="J267" s="73"/>
      <c r="K267" s="88" t="s">
        <v>2557</v>
      </c>
    </row>
    <row r="268" spans="1:11">
      <c r="A268" s="83">
        <v>134</v>
      </c>
      <c r="B268" s="73" t="s">
        <v>391</v>
      </c>
      <c r="C268" s="73"/>
      <c r="D268" s="88" t="s">
        <v>2497</v>
      </c>
      <c r="E268" s="88" t="s">
        <v>2559</v>
      </c>
      <c r="F268" s="74"/>
      <c r="G268" s="73"/>
      <c r="H268" s="73"/>
      <c r="I268" s="73"/>
      <c r="J268" s="73"/>
      <c r="K268" s="88" t="s">
        <v>2560</v>
      </c>
    </row>
    <row r="269" spans="1:11">
      <c r="A269" s="83">
        <v>134</v>
      </c>
      <c r="B269" s="73" t="s">
        <v>0</v>
      </c>
      <c r="C269" s="73"/>
      <c r="D269" s="66" t="s">
        <v>2500</v>
      </c>
      <c r="E269" s="66" t="s">
        <v>2561</v>
      </c>
      <c r="F269" s="74"/>
      <c r="G269" s="73"/>
      <c r="H269" s="73"/>
      <c r="I269" s="73"/>
      <c r="J269" s="73"/>
      <c r="K269" s="88" t="s">
        <v>2560</v>
      </c>
    </row>
    <row r="270" spans="1:11">
      <c r="A270" s="83">
        <v>135</v>
      </c>
      <c r="B270" s="73" t="s">
        <v>391</v>
      </c>
      <c r="C270" s="73"/>
      <c r="D270" s="88" t="s">
        <v>2497</v>
      </c>
      <c r="E270" s="88" t="s">
        <v>2562</v>
      </c>
      <c r="F270" s="74"/>
      <c r="G270" s="73"/>
      <c r="H270" s="73"/>
      <c r="I270" s="73"/>
      <c r="J270" s="73"/>
      <c r="K270" s="88" t="s">
        <v>2563</v>
      </c>
    </row>
    <row r="271" spans="1:11">
      <c r="A271" s="83">
        <v>135</v>
      </c>
      <c r="B271" s="73" t="s">
        <v>0</v>
      </c>
      <c r="C271" s="73"/>
      <c r="D271" s="66" t="s">
        <v>2500</v>
      </c>
      <c r="E271" s="66" t="s">
        <v>2564</v>
      </c>
      <c r="F271" s="74"/>
      <c r="G271" s="73"/>
      <c r="H271" s="73"/>
      <c r="I271" s="73"/>
      <c r="J271" s="73"/>
      <c r="K271" s="88" t="s">
        <v>2563</v>
      </c>
    </row>
    <row r="272" spans="1:11">
      <c r="A272" s="83">
        <v>136</v>
      </c>
      <c r="B272" s="73" t="s">
        <v>391</v>
      </c>
      <c r="C272" s="73"/>
      <c r="D272" s="88" t="s">
        <v>2497</v>
      </c>
      <c r="E272" s="88" t="s">
        <v>2565</v>
      </c>
      <c r="F272" s="74"/>
      <c r="G272" s="73"/>
      <c r="H272" s="73"/>
      <c r="I272" s="73"/>
      <c r="J272" s="73"/>
      <c r="K272" s="88" t="s">
        <v>2566</v>
      </c>
    </row>
    <row r="273" spans="1:11">
      <c r="A273" s="83">
        <v>135.99240188383001</v>
      </c>
      <c r="B273" s="73" t="s">
        <v>0</v>
      </c>
      <c r="C273" s="73"/>
      <c r="D273" s="66" t="s">
        <v>2500</v>
      </c>
      <c r="E273" s="66" t="s">
        <v>2567</v>
      </c>
      <c r="F273" s="74"/>
      <c r="G273" s="73"/>
      <c r="H273" s="73"/>
      <c r="I273" s="73"/>
      <c r="J273" s="73"/>
      <c r="K273" s="88" t="s">
        <v>2566</v>
      </c>
    </row>
    <row r="274" spans="1:11" ht="30">
      <c r="A274" s="82">
        <v>137</v>
      </c>
      <c r="B274" s="71" t="s">
        <v>0</v>
      </c>
      <c r="C274" s="71"/>
      <c r="D274" s="66" t="s">
        <v>2289</v>
      </c>
      <c r="E274" s="80" t="s">
        <v>2568</v>
      </c>
      <c r="F274" s="72"/>
      <c r="G274" s="71"/>
      <c r="H274" s="71"/>
      <c r="I274" s="71" t="s">
        <v>2569</v>
      </c>
      <c r="J274" s="71"/>
      <c r="K274" s="78" t="s">
        <v>2570</v>
      </c>
    </row>
    <row r="275" spans="1:11" ht="30">
      <c r="A275" s="83">
        <v>137</v>
      </c>
      <c r="B275" s="73" t="s">
        <v>391</v>
      </c>
      <c r="C275" s="73"/>
      <c r="D275" s="88" t="s">
        <v>2289</v>
      </c>
      <c r="E275" s="74" t="s">
        <v>2571</v>
      </c>
      <c r="F275" s="74"/>
      <c r="G275" s="73"/>
      <c r="H275" s="73"/>
      <c r="I275" s="73" t="s">
        <v>2493</v>
      </c>
      <c r="J275" s="73"/>
      <c r="K275" s="73" t="s">
        <v>2570</v>
      </c>
    </row>
  </sheetData>
  <dataValidations count="3">
    <dataValidation type="list" allowBlank="1" showInputMessage="1" showErrorMessage="1" sqref="H3" xr:uid="{0444CB90-BCDD-4298-80A5-C6D187B657AF}">
      <formula1>INDIRECT("RequirementStatus"&amp;DocumentLanguage)</formula1>
    </dataValidation>
    <dataValidation type="list" allowBlank="1" showInputMessage="1" showErrorMessage="1" sqref="B3" xr:uid="{7CBCF385-580A-4F3A-A3D4-018D508FD210}">
      <formula1>Languages</formula1>
    </dataValidation>
    <dataValidation type="list" allowBlank="1" showInputMessage="1" showErrorMessage="1" sqref="K2:K227 K274:K275" xr:uid="{57011200-E037-47C9-B7AA-91B080041FEF}">
      <formula1>#REF!</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6BFD9934-FC6B-4AC2-9645-7E3CDC03FBCB}">
          <x14:formula1>
            <xm:f>IF('Contexte et portée'!$C$1='DATA - Contexte et portée'!$A$1,'DATA - Controles'!$A$1:$A$6,'DATA - Controles'!$B$1:$B$6)</xm:f>
          </x14:formula1>
          <xm:sqref>H2 H4:H275 I69</xm:sqref>
        </x14:dataValidation>
        <x14:dataValidation type="list" allowBlank="1" showInputMessage="1" showErrorMessage="1" xr:uid="{54E898C8-D8F4-4D70-8AEE-7E1858448B4B}">
          <x14:formula1>
            <xm:f>'DATA - Contexte et portée'!$A$1:$B$1</xm:f>
          </x14:formula1>
          <xm:sqref>B2 B4:B275</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ACE43-2AD0-4395-BA78-C27E4F5568BE}">
  <sheetPr codeName="Sheet7"/>
  <dimension ref="A1:D29"/>
  <sheetViews>
    <sheetView workbookViewId="0"/>
  </sheetViews>
  <sheetFormatPr defaultColWidth="11.42578125" defaultRowHeight="15"/>
  <cols>
    <col min="1" max="1" width="12.5703125" customWidth="1"/>
    <col min="2" max="2" width="13.5703125" bestFit="1" customWidth="1"/>
    <col min="3" max="3" width="10.42578125" bestFit="1" customWidth="1"/>
    <col min="4" max="4" width="128.5703125" customWidth="1"/>
  </cols>
  <sheetData>
    <row r="1" spans="1:4">
      <c r="A1" s="3" t="s">
        <v>2572</v>
      </c>
      <c r="B1" s="4" t="s">
        <v>2573</v>
      </c>
      <c r="C1" s="5" t="s">
        <v>570</v>
      </c>
      <c r="D1" s="6" t="s">
        <v>2574</v>
      </c>
    </row>
    <row r="2" spans="1:4" ht="30">
      <c r="A2" s="53">
        <v>44867</v>
      </c>
      <c r="B2" s="54" t="s">
        <v>2575</v>
      </c>
      <c r="C2" s="54" t="s">
        <v>625</v>
      </c>
      <c r="D2" s="55"/>
    </row>
    <row r="3" spans="1:4" ht="150">
      <c r="A3" s="53">
        <v>44945</v>
      </c>
      <c r="B3" s="54" t="s">
        <v>2576</v>
      </c>
      <c r="C3" s="54" t="s">
        <v>2577</v>
      </c>
      <c r="D3" s="55" t="s">
        <v>2578</v>
      </c>
    </row>
    <row r="4" spans="1:4" ht="45">
      <c r="A4" s="53">
        <v>44995</v>
      </c>
      <c r="B4" s="54" t="s">
        <v>2579</v>
      </c>
      <c r="C4" s="54">
        <v>1.2</v>
      </c>
      <c r="D4" s="55" t="s">
        <v>2580</v>
      </c>
    </row>
    <row r="5" spans="1:4" ht="30">
      <c r="A5" s="53">
        <v>45071</v>
      </c>
      <c r="B5" s="54" t="s">
        <v>2581</v>
      </c>
      <c r="C5" s="54" t="s">
        <v>2582</v>
      </c>
      <c r="D5" s="55" t="s">
        <v>2583</v>
      </c>
    </row>
    <row r="6" spans="1:4">
      <c r="A6" s="53">
        <v>45154</v>
      </c>
      <c r="B6" s="54" t="s">
        <v>2584</v>
      </c>
      <c r="C6" s="54" t="s">
        <v>2582</v>
      </c>
      <c r="D6" s="55" t="s">
        <v>2585</v>
      </c>
    </row>
    <row r="7" spans="1:4" ht="60">
      <c r="A7" s="53">
        <v>45205</v>
      </c>
      <c r="B7" s="54" t="s">
        <v>2586</v>
      </c>
      <c r="C7" s="54" t="s">
        <v>2587</v>
      </c>
      <c r="D7" s="55" t="s">
        <v>2588</v>
      </c>
    </row>
    <row r="8" spans="1:4" ht="240">
      <c r="A8" s="53">
        <v>45455</v>
      </c>
      <c r="B8" s="54" t="s">
        <v>2589</v>
      </c>
      <c r="C8" s="54" t="s">
        <v>2590</v>
      </c>
      <c r="D8" s="55" t="s">
        <v>2591</v>
      </c>
    </row>
    <row r="9" spans="1:4">
      <c r="A9" s="53">
        <v>46054</v>
      </c>
      <c r="B9" s="54" t="s">
        <v>2579</v>
      </c>
      <c r="C9" s="54"/>
      <c r="D9" s="55" t="s">
        <v>2592</v>
      </c>
    </row>
    <row r="10" spans="1:4">
      <c r="A10" s="53"/>
      <c r="B10" s="54"/>
      <c r="C10" s="54"/>
      <c r="D10" s="55"/>
    </row>
    <row r="11" spans="1:4">
      <c r="A11" s="53"/>
      <c r="B11" s="54"/>
      <c r="C11" s="54"/>
      <c r="D11" s="55"/>
    </row>
    <row r="12" spans="1:4">
      <c r="A12" s="53"/>
      <c r="B12" s="54"/>
      <c r="C12" s="54"/>
      <c r="D12" s="55"/>
    </row>
    <row r="13" spans="1:4">
      <c r="A13" s="53"/>
      <c r="B13" s="54"/>
      <c r="C13" s="54"/>
      <c r="D13" s="55"/>
    </row>
    <row r="14" spans="1:4">
      <c r="A14" s="53"/>
      <c r="B14" s="54"/>
      <c r="C14" s="54"/>
      <c r="D14" s="55"/>
    </row>
    <row r="15" spans="1:4">
      <c r="A15" s="53"/>
      <c r="B15" s="54"/>
      <c r="C15" s="54"/>
      <c r="D15" s="55"/>
    </row>
    <row r="16" spans="1:4">
      <c r="A16" s="53"/>
      <c r="B16" s="54"/>
      <c r="C16" s="54"/>
      <c r="D16" s="55"/>
    </row>
    <row r="17" spans="1:4">
      <c r="A17" s="53"/>
      <c r="B17" s="54"/>
      <c r="C17" s="54"/>
      <c r="D17" s="55"/>
    </row>
    <row r="18" spans="1:4">
      <c r="A18" s="53"/>
      <c r="B18" s="54"/>
      <c r="C18" s="54"/>
      <c r="D18" s="55"/>
    </row>
    <row r="19" spans="1:4">
      <c r="A19" s="53"/>
      <c r="B19" s="54"/>
      <c r="C19" s="54"/>
      <c r="D19" s="55"/>
    </row>
    <row r="20" spans="1:4">
      <c r="A20" s="53"/>
      <c r="B20" s="54"/>
      <c r="C20" s="54"/>
      <c r="D20" s="55"/>
    </row>
    <row r="21" spans="1:4">
      <c r="A21" s="53"/>
      <c r="B21" s="54"/>
      <c r="C21" s="54"/>
      <c r="D21" s="55"/>
    </row>
    <row r="22" spans="1:4">
      <c r="A22" s="53"/>
      <c r="B22" s="54"/>
      <c r="C22" s="54"/>
      <c r="D22" s="55"/>
    </row>
    <row r="23" spans="1:4">
      <c r="A23" s="53"/>
      <c r="B23" s="54"/>
      <c r="C23" s="54"/>
      <c r="D23" s="55"/>
    </row>
    <row r="24" spans="1:4">
      <c r="A24" s="53"/>
      <c r="B24" s="54"/>
      <c r="C24" s="54"/>
      <c r="D24" s="55"/>
    </row>
    <row r="25" spans="1:4">
      <c r="A25" s="53"/>
      <c r="B25" s="54"/>
      <c r="C25" s="54"/>
      <c r="D25" s="55"/>
    </row>
    <row r="26" spans="1:4">
      <c r="A26" s="53"/>
      <c r="B26" s="54"/>
      <c r="C26" s="54"/>
      <c r="D26" s="55"/>
    </row>
    <row r="27" spans="1:4">
      <c r="A27" s="53"/>
      <c r="B27" s="54"/>
      <c r="C27" s="54"/>
      <c r="D27" s="55"/>
    </row>
    <row r="28" spans="1:4">
      <c r="A28" s="53"/>
      <c r="B28" s="54"/>
      <c r="C28" s="54"/>
      <c r="D28" s="55"/>
    </row>
    <row r="29" spans="1:4">
      <c r="A29" s="53"/>
      <c r="B29" s="54"/>
      <c r="C29" s="54"/>
      <c r="D29" s="55"/>
    </row>
  </sheetData>
  <sheetProtection sheet="1" objects="1" scenarios="1"/>
  <pageMargins left="0.7" right="0.7" top="0.75" bottom="0.75" header="0.3" footer="0.3"/>
  <pageSetup paperSize="161"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8754ec9-053c-46ff-ab5e-ec8cc110d5c0">
      <Terms xmlns="http://schemas.microsoft.com/office/infopath/2007/PartnerControls"/>
    </lcf76f155ced4ddcb4097134ff3c332f>
    <TaxCatchAll xmlns="8d1212ff-ebf4-4157-ba13-a3140822e328" xsi:nil="true"/>
    <R_x00e9_sum_x00e9_ xmlns="48754ec9-053c-46ff-ab5e-ec8cc110d5c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D3C9FB53EAA44428A8858A1BB8E1AC7" ma:contentTypeVersion="12" ma:contentTypeDescription="Crée un document." ma:contentTypeScope="" ma:versionID="309137ec9d05c3e103c27f34d8be9c5e">
  <xsd:schema xmlns:xsd="http://www.w3.org/2001/XMLSchema" xmlns:xs="http://www.w3.org/2001/XMLSchema" xmlns:p="http://schemas.microsoft.com/office/2006/metadata/properties" xmlns:ns2="48754ec9-053c-46ff-ab5e-ec8cc110d5c0" xmlns:ns3="8d1212ff-ebf4-4157-ba13-a3140822e328" targetNamespace="http://schemas.microsoft.com/office/2006/metadata/properties" ma:root="true" ma:fieldsID="e158ece8d7030ff68af46279f5a03e56" ns2:_="" ns3:_="">
    <xsd:import namespace="48754ec9-053c-46ff-ab5e-ec8cc110d5c0"/>
    <xsd:import namespace="8d1212ff-ebf4-4157-ba13-a3140822e328"/>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R_x00e9_sum_x00e9_"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8754ec9-053c-46ff-ab5e-ec8cc110d5c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49c3984d-6c88-459e-875d-1e42fc537581"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R_x00e9_sum_x00e9_" ma:index="19" nillable="true" ma:displayName="Résumé" ma:description="Fournit une brève description du dossier pour en préciser la nature, l’objectif ou le contenu." ma:format="Dropdown" ma:internalName="R_x00e9_sum_x00e9_">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d1212ff-ebf4-4157-ba13-a3140822e328"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1e5f4e7d-89ec-4de7-9897-be0c4ae94b84}" ma:internalName="TaxCatchAll" ma:showField="CatchAllData" ma:web="8d1212ff-ebf4-4157-ba13-a3140822e32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75EAE49C-342D-45F4-A534-97EBFF377DA2}"/>
</file>

<file path=customXml/itemProps2.xml><?xml version="1.0" encoding="utf-8"?>
<ds:datastoreItem xmlns:ds="http://schemas.openxmlformats.org/officeDocument/2006/customXml" ds:itemID="{E9B4CF6B-CE98-4FC2-AABB-657FC073B983}"/>
</file>

<file path=customXml/itemProps3.xml><?xml version="1.0" encoding="utf-8"?>
<ds:datastoreItem xmlns:ds="http://schemas.openxmlformats.org/officeDocument/2006/customXml" ds:itemID="{DB833C87-9B0F-48E7-9159-4B5A257FA830}"/>
</file>

<file path=customXml/itemProps4.xml><?xml version="1.0" encoding="utf-8"?>
<ds:datastoreItem xmlns:ds="http://schemas.openxmlformats.org/officeDocument/2006/customXml" ds:itemID="{B914DE9F-E274-44CE-B48A-AD5C5DFBA69C}"/>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Fortier, Kevin</dc:creator>
  <cp:keywords/>
  <dc:description/>
  <cp:lastModifiedBy>Meer-Hossen, Ally</cp:lastModifiedBy>
  <cp:revision>1</cp:revision>
  <dcterms:created xsi:type="dcterms:W3CDTF">2025-07-03T18:21:21Z</dcterms:created>
  <dcterms:modified xsi:type="dcterms:W3CDTF">2026-03-26T10:39:00Z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0x0101009D3C9FB53EAA44428A8858A1BB8E1AC7</vt:lpwstr>
  </property>
  <property fmtid="{D5CDD505-2E9C-101B-9397-08002B2CF9AE}" pid="3" name="MediaServiceImageTags">
    <vt:lpwstr/>
  </property>
</Properties>
</file>